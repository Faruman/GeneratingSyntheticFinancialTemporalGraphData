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mc:AlternateContent xmlns:mc="http://schemas.openxmlformats.org/markup-compatibility/2006">
    <mc:Choice Requires="x15">
      <x15ac:absPath xmlns:x15ac="http://schemas.microsoft.com/office/spreadsheetml/2010/11/ac" url="https://universitaetstgallen-my.sharepoint.com/personal/fabian_karst_unisg_ch/Documents/03_PhD/Research/3_ArtificialDatabaseCombination/InformationSystemResearch2024/LiteratureReviews/SyntheticTemporalGraphDataGeneration/"/>
    </mc:Choice>
  </mc:AlternateContent>
  <xr:revisionPtr revIDLastSave="1506" documentId="11_AD4DB114E441178AC67DF4FCD652D864693EDF13" xr6:coauthVersionLast="47" xr6:coauthVersionMax="47" xr10:uidLastSave="{A992B8B0-443C-894C-8779-3284AFA1A5EC}"/>
  <bookViews>
    <workbookView xWindow="0" yWindow="660" windowWidth="30240" windowHeight="18980" xr2:uid="{00000000-000D-0000-FFFF-FFFF00000000}"/>
  </bookViews>
  <sheets>
    <sheet name="Overview" sheetId="1" r:id="rId1"/>
    <sheet name="Total" sheetId="6" r:id="rId2"/>
    <sheet name="1_ACM" sheetId="2" r:id="rId3"/>
    <sheet name="1_IEEE" sheetId="3" r:id="rId4"/>
    <sheet name="1_Scopus" sheetId="4" r:id="rId5"/>
    <sheet name="1_WoS" sheetId="5" r:id="rId6"/>
    <sheet name="2_ACM" sheetId="12" r:id="rId7"/>
    <sheet name="2_IEEE" sheetId="13" r:id="rId8"/>
    <sheet name="2_Scopus" sheetId="14" r:id="rId9"/>
    <sheet name="2_WoS" sheetId="15" r:id="rId10"/>
    <sheet name="Forward" sheetId="18" r:id="rId11"/>
    <sheet name="Other" sheetId="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5" i="6" l="1"/>
  <c r="A4" i="18"/>
  <c r="G9" i="1"/>
  <c r="G12" i="1"/>
  <c r="G11" i="1"/>
  <c r="G10" i="1"/>
  <c r="G13" i="1"/>
  <c r="I13" i="1"/>
  <c r="A3" i="18"/>
  <c r="A2" i="18"/>
  <c r="A2" i="15"/>
  <c r="A3" i="15"/>
  <c r="A4" i="15"/>
  <c r="A5" i="15"/>
  <c r="A6" i="15"/>
  <c r="A7" i="15"/>
  <c r="A8" i="15"/>
  <c r="A9" i="15"/>
  <c r="A10" i="15"/>
  <c r="H10" i="15"/>
  <c r="H9" i="15"/>
  <c r="H8" i="15"/>
  <c r="H7" i="15"/>
  <c r="H6" i="15"/>
  <c r="H4" i="15"/>
  <c r="H3" i="15"/>
  <c r="H2" i="15"/>
  <c r="A2" i="14"/>
  <c r="A3" i="14"/>
  <c r="A4" i="14"/>
  <c r="A5" i="14"/>
  <c r="A6" i="14"/>
  <c r="A7" i="14"/>
  <c r="A8" i="14"/>
  <c r="A9" i="14"/>
  <c r="A10" i="14"/>
  <c r="A11" i="14"/>
  <c r="A12" i="14"/>
  <c r="A13" i="14"/>
  <c r="A14" i="14"/>
  <c r="A15" i="14"/>
  <c r="A16" i="14"/>
  <c r="A17" i="14"/>
  <c r="A18" i="14"/>
  <c r="A19" i="14"/>
  <c r="A20" i="14"/>
  <c r="A21" i="14"/>
  <c r="A22" i="14"/>
  <c r="A23" i="14"/>
  <c r="A24" i="14"/>
  <c r="A25" i="14"/>
  <c r="A26" i="14"/>
  <c r="A27" i="14"/>
  <c r="A28" i="14"/>
  <c r="A29" i="14"/>
  <c r="A30" i="14"/>
  <c r="A2" i="5"/>
  <c r="A2" i="13"/>
  <c r="A3" i="13"/>
  <c r="A4" i="13"/>
  <c r="A5" i="13"/>
  <c r="A6" i="13"/>
  <c r="A7" i="13"/>
  <c r="A8" i="13"/>
  <c r="A3" i="12"/>
  <c r="A2" i="12"/>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2" i="3"/>
  <c r="A3" i="3"/>
  <c r="A4" i="3"/>
  <c r="A5" i="3"/>
  <c r="A6" i="3"/>
  <c r="A7" i="3"/>
  <c r="A8" i="3"/>
  <c r="A9" i="3"/>
  <c r="A10" i="3"/>
  <c r="A11" i="3"/>
  <c r="A12" i="3"/>
  <c r="A13" i="3"/>
  <c r="A14" i="3"/>
  <c r="A15" i="3"/>
  <c r="A16" i="3"/>
  <c r="A17" i="3"/>
  <c r="A18" i="3"/>
  <c r="A19" i="3"/>
  <c r="A20" i="3"/>
  <c r="A21" i="3"/>
  <c r="A22" i="3"/>
  <c r="A23" i="3"/>
  <c r="A24" i="3"/>
  <c r="A25" i="3"/>
  <c r="A26" i="3"/>
  <c r="A27" i="3"/>
  <c r="A28" i="3"/>
  <c r="A29" i="3"/>
  <c r="A2" i="2"/>
  <c r="A3" i="2"/>
  <c r="A4" i="2"/>
  <c r="A5" i="2"/>
  <c r="A6" i="2"/>
  <c r="G7" i="1"/>
  <c r="F8" i="1"/>
  <c r="E8" i="1"/>
  <c r="C8" i="1"/>
  <c r="D8" i="1"/>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6" i="5"/>
  <c r="H5" i="5"/>
  <c r="H2" i="5"/>
  <c r="G6" i="1"/>
  <c r="G14" i="1" l="1"/>
  <c r="G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1350F7-13BA-4DE6-A674-31D0C0C12DD0}" keepAlive="1" name="Query - Scopus_SyntheticGraphDataGeneration" description="Connection to the 'Scopus_SyntheticGraphDataGeneration' query in the workbook." type="5" refreshedVersion="0" background="1" saveData="1">
    <dbPr connection="Provider=Microsoft.Mashup.OleDb.1;Data Source=$Workbook$;Location=Scopus_SyntheticGraphDataGeneration;Extended Properties=&quot;&quot;" command="SELECT * FROM [Scopus_SyntheticGraphDataGeneration]"/>
  </connection>
</connections>
</file>

<file path=xl/sharedStrings.xml><?xml version="1.0" encoding="utf-8"?>
<sst xmlns="http://schemas.openxmlformats.org/spreadsheetml/2006/main" count="1863" uniqueCount="967">
  <si>
    <t>Search String</t>
  </si>
  <si>
    <t>ACM</t>
  </si>
  <si>
    <t>IEEE</t>
  </si>
  <si>
    <t>Scopus</t>
  </si>
  <si>
    <t>Web of Science</t>
  </si>
  <si>
    <t>Hits per Database</t>
  </si>
  <si>
    <t>Searched Content: Title / Abstract / Author Keywords</t>
  </si>
  <si>
    <t xml:space="preserve">Date Range: 2020 - </t>
  </si>
  <si>
    <t>Authors</t>
  </si>
  <si>
    <t>Schulz, NA; Carus, J; Wiederhold, AJ; Johanns, O; Peters, F; Rath, N; Rausch, K; Holleczek, B; Katalinic, A; Gundler, C</t>
  </si>
  <si>
    <t>Dacunto, G; Di Lorenzo, P; Bonchi, F; Sardellitti, S; Barbarossa, S</t>
  </si>
  <si>
    <t>Yamada, K; Tanaka, Y</t>
  </si>
  <si>
    <t>Clarkson, J; Cucuringu, M; Elliott, A; Reinert, G</t>
  </si>
  <si>
    <t>Ma, ZF; Wei, SJ; Aoki, Y; Liu, JH; Huang, T</t>
  </si>
  <si>
    <t>Zhou, YJ; Xu, K; He, F</t>
  </si>
  <si>
    <t>Zhang, ZW; Meng, LH; Gu, YT</t>
  </si>
  <si>
    <t>Tian, X; Ma, ZF; Jiang, M</t>
  </si>
  <si>
    <t>Zhao, MJ; Fink, O</t>
  </si>
  <si>
    <t>Zhang, YT; Regol, F; Valkanas, A; Coates, M</t>
  </si>
  <si>
    <t>Jiang, M; Hooper, A; Tian, X; Xu, J; Chen, SN; Ma, ZF; Cheng, X</t>
  </si>
  <si>
    <t>Money, R; Krishnan, J; Beferull-Lozano, B</t>
  </si>
  <si>
    <t>Money, RT; Krishnan, JP; Beferull-Lozano, B</t>
  </si>
  <si>
    <t>Lin, GC; Lin, AJ</t>
  </si>
  <si>
    <t>Liu, TT; Feng, ZJ; Li, H; Lu, H; Cheema, MA; Cheng, H; Xu, JL</t>
  </si>
  <si>
    <t>Westphal, F; Grahn, H; Lavesson, N</t>
  </si>
  <si>
    <t>Bakken, M; Soylu, A</t>
  </si>
  <si>
    <t>Wu, WC; Liu, HX; Zhang, XH; Liu, Y; Zha, HY</t>
  </si>
  <si>
    <t>Wang, Q; Shwartz, L; Grabarnik, GY; Arya, V; Shanmugam, K</t>
  </si>
  <si>
    <t>Türkmen, AC; Çapan, G; Cemgil, AT</t>
  </si>
  <si>
    <t>Zhang, TM; Gao, YJ; Qiu, LS; Chen, L; Linghu, QY; Pu, SL</t>
  </si>
  <si>
    <t>Maisonnave, M; Delbianco, F; Tohme, F; Milios, E; Maguitman, AG</t>
  </si>
  <si>
    <t>Wu, LB; Wang, M; Wu, D; Wu, J</t>
  </si>
  <si>
    <t>Cadena, J; Sales, AP; Lam, D; Enright, HA; Wheeler, EK; Fischer, NO</t>
  </si>
  <si>
    <t>Gao, YJ; Zhang, TM; Qiu, LS; Linghu, QY; Chen, G</t>
  </si>
  <si>
    <t>Zheng, LY; Rao, HY; Pu, SL; Jiang, WH; Hao, YG; Li, WJ; Shao, JX; Su, B; Wang, SS; Zhao, W; Xie, YJ; Zhang, W</t>
  </si>
  <si>
    <t>Carrillo, RE; Leblanc, M; Schubnel, B; Langou, R; Topfel, C; Alet, PJ</t>
  </si>
  <si>
    <t>Yu, H; Wu, SW; Dauwels, J</t>
  </si>
  <si>
    <t>Tomasi, F; Tozzo, V; Barla, A</t>
  </si>
  <si>
    <t>Hong, JP; Yan, Y; Kuruoglu, EE; Chan, WK</t>
  </si>
  <si>
    <t>Tahirovic, AA; Angeli, D; Strbac, G</t>
  </si>
  <si>
    <t>Bai, LH; Lu, HY; Liu, YK</t>
  </si>
  <si>
    <t>Charles, AS; Cermak, N; Affan, RO; Scott, BB; Schiller, J; Mishne, G</t>
  </si>
  <si>
    <t>Li, S; Zhong, ZH; Shi, B</t>
  </si>
  <si>
    <t>Gao, SH; Sun, CK; Xiang, C; Qin, KR; Lee, TH</t>
  </si>
  <si>
    <t>Chen, YT; Yu, XH; Koudas, N; Yu, ZQ</t>
  </si>
  <si>
    <t>Yu, DX; Wang, N; Luo, Q; Li, F; Yu, JG; Cheng, XZ; Cai, ZP</t>
  </si>
  <si>
    <t>Liu, F; Wang, L; Lou, YF; Li, RC; Purdon, PL</t>
  </si>
  <si>
    <t>Lee, JY; Hussain, S; Warnick, R; Vannucci, M; Menchaca, I; Seitz, AR; Hu, XP; Peters, MAK; Guindani, M</t>
  </si>
  <si>
    <t>Qin, ZL; Zhang, PF; Ma, ZL</t>
  </si>
  <si>
    <t>Lecointre, A; Roux, P; Bouttier, PA; Picard, C; Louvet, V</t>
  </si>
  <si>
    <t>Article Title</t>
  </si>
  <si>
    <t>Learning debiased graph representations from the OMOP common data model for synthetic data generation</t>
  </si>
  <si>
    <t>Learning Multi-Frequency Partial Correlation Graphs</t>
  </si>
  <si>
    <t>Learning Graphs with Multiple Temporal Resolutions</t>
  </si>
  <si>
    <t>DAMNETS: A Deep Autoregressive Model for Generating Markovian Network Time Series</t>
  </si>
  <si>
    <t>A New Spatiotemporal InSAR Tropospheric Noise Filtering: An Interseismic Case Study Over Central San Andreas Fault</t>
  </si>
  <si>
    <t>Fast Synthetic Data-Aware Log Generation for Temporal Declarative Models</t>
  </si>
  <si>
    <t>Root cause diagnosis in multivariate time series based on modified temporal convolution and multi-head self-attention</t>
  </si>
  <si>
    <t>SageFormer: Series-Aware Framework for Long-Term Multivariate Time-Series Forecasting</t>
  </si>
  <si>
    <t>A Modification to Time-Series Coregistration for Sentinel-1 TOPS Data</t>
  </si>
  <si>
    <t>DyEdgeGAT: Dynamic Edge via Graph Attention for Early Fault Detection in IIoT Systems</t>
  </si>
  <si>
    <t>Health record hiccups-5,526 real-world time series with change points labelled by crowdsourced visual inspection</t>
  </si>
  <si>
    <t>Contrastive Learning for Time Series on Dynamic Graphs</t>
  </si>
  <si>
    <t>Delineation of built-up land change from SAR stack by analysing the coefficient of variation</t>
  </si>
  <si>
    <t>Online Non-linear Topology Identification from Graph-connected Time Series</t>
  </si>
  <si>
    <t>Sparse Online Learning With Kernels Using Random Features for Estimating Nonlinear Dynamic Graphs</t>
  </si>
  <si>
    <t>Temporal Multiresolution Graph Learning</t>
  </si>
  <si>
    <t>Modified multiscale sample entropy and cross-sample entropy based on horizontal visibility graph</t>
  </si>
  <si>
    <t>Shortest Path Queries for Indoor Venues with Temporal Variations</t>
  </si>
  <si>
    <t>Representative Image Selection for Data Efficient Word Spotting</t>
  </si>
  <si>
    <t>Chrontext: Portable SPARQL queries over contextualised time series data in industrial settings</t>
  </si>
  <si>
    <t>RANDOM FEATURE APPROXIMATION FOR ONLINE NONLINEAR GRAPH TOPOLOGY IDENTIFICATION</t>
  </si>
  <si>
    <t>Modeling Event Propagation via Graph Biased Temporal Point Process</t>
  </si>
  <si>
    <t>Inference of dynamic hypergraph representations in temporal interaction data</t>
  </si>
  <si>
    <t>Detecting Causal Structure on Cloud Application Microservices Using Granger Causality Models</t>
  </si>
  <si>
    <t>Clustering Event Streams With Low Rank Hawkes Processes</t>
  </si>
  <si>
    <t>Distributed time-respecting flow graph pattern matching on temporal graphs</t>
  </si>
  <si>
    <t>Causal graph extraction from news: a comparative study of time-series causality learning techniques</t>
  </si>
  <si>
    <t>DynSTGAT: Dynamic Spatial-Temporal Graph Attention Network for Traffic Signal Control</t>
  </si>
  <si>
    <t>Modeling the temporal network dynamics of neuronal cultures</t>
  </si>
  <si>
    <t>Time-Respecting Flow Graph Pattern Matching on Temporal Graphs</t>
  </si>
  <si>
    <t>Traffic State Identification Based on Graph Neural Networks: Taking Tidal Traffic as an Example</t>
  </si>
  <si>
    <t>Measuring Strength of Joint Causal Effects</t>
  </si>
  <si>
    <t>High-Resolution PV Forecasting from Imperfect Data: A Graph-Based Solution</t>
  </si>
  <si>
    <t>Efficient Variational Bayes Learning of Graphical Models With Smooth Structural Changes</t>
  </si>
  <si>
    <t>Temporal Pattern Detection in Time-Varying Graphical Models</t>
  </si>
  <si>
    <t>Multivariate Time Series Forecasting With GARCH Models on Graphs</t>
  </si>
  <si>
    <t>Heterogeneous network flow and Petri nets characterize multilayer complex networks</t>
  </si>
  <si>
    <t>Assessing Deep Generative Models on Time Series Network Data</t>
  </si>
  <si>
    <t>High-Efficiency Observations: Compressive Sensing and Recovery of Seismic Waveform Data</t>
  </si>
  <si>
    <t>GraFT: Graph Filtered Temporal Dictionary Learning for Functional Neural Imaging</t>
  </si>
  <si>
    <t>Ride-Hailing Order Matching and Vehicle Repositioning Based on Vehicle Value Function</t>
  </si>
  <si>
    <t>Learning Asynchronous Boolean Networks From Single-Cell Data Using Multiobjective Cooperative Genetic Programming</t>
  </si>
  <si>
    <t>Evaluating Temporal Queries Over Video Feeds</t>
  </si>
  <si>
    <t>Fast Core Maintenance in Dynamic Graphs</t>
  </si>
  <si>
    <t>Probabilistic Structure Learning for EEG/MEG Source Imaging With Hierarchical Graph Priors</t>
  </si>
  <si>
    <t>The Euler characteristic as a topological marker for outbreaks in vector-borne disease</t>
  </si>
  <si>
    <t>A predictor-informed multi-subject bayesian approach for dynamic functional connectivity</t>
  </si>
  <si>
    <t>DeepAGS: Deep learning with activity, geography and sequential information in predicting an individual's next trip destination</t>
  </si>
  <si>
    <t>The use of networks in spatial and temporal computational models for outbreak spread in epidemiology: A systematic review</t>
  </si>
  <si>
    <t>A graph approach for fast dense array inter-station phase delay interpretation</t>
  </si>
  <si>
    <t>Author Keywords</t>
  </si>
  <si>
    <t>Synthetic Data Generation; Standardized Electronic Health Records; Causal Discovery; Discrete Time Series; Structural Equation Models; Graphical Models; Constraint-based Causal Discovery; Gradient-Based Causal Discovery; DYNOTEARS; Temporal Association Rule Mining (TARM)</t>
  </si>
  <si>
    <t>Time series analysis; Correlation; Time-frequency analysis; Tensors; Synthetic data; Proposals; Iterative methods; Partial correlation graph; multi-frequency; block-sparsity; nonconvex optimization</t>
  </si>
  <si>
    <t/>
  </si>
  <si>
    <t>Graph learning; network topology inference; multiresolution graph; time-varying graph</t>
  </si>
  <si>
    <t>Filtering; Spatiotemporal phenomena; Delays; Time series analysis; Splines (mathematics); History; Mathematical models; All-pairs-shortest-path (APSP); F-test; graph theory; hypothesis test; SAR interferometry (InSAR); tropospheric noise removal</t>
  </si>
  <si>
    <t>Causal discovery; Chemical process; Deep learning; Root cause diagnosis; Self-attention</t>
  </si>
  <si>
    <t>Interseries dependencies; time-series forecasting; transformer</t>
  </si>
  <si>
    <t>Coherence; Electrostatic discharges; Azimuth; Covariance matrices; Principal component analysis; Signal to noise ratio; Synthetic aperture radar; Coherence; coregistration; Sentinel-1; synthetic aperture radar (SAR); terrain observation by progressive scan (TOPS)</t>
  </si>
  <si>
    <t>Graph learning; graph neural networks (GNNs); multivariate time series (MTSs); unsupervised fault detection (FD)</t>
  </si>
  <si>
    <t>Contrastive learning; representation learning; time series; dynamic graphs</t>
  </si>
  <si>
    <t>Coefficient of variation; Built-up land change; Time series; Synthetic aperture radar; Markov random field</t>
  </si>
  <si>
    <t>Non-linear topology identification; Causality; Graph connected time series; Kernels</t>
  </si>
  <si>
    <t>Index Terms-Online graph learning; nonlinear topology identification; regret analysis; random Fourier features</t>
  </si>
  <si>
    <t>Signal resolution; Laplace equations; Spatial resolution; Optimization; Brain modeling; Mathematical models; Licenses; Graph inference; graph learning; time-varying graph; temporal multiresolution graph</t>
  </si>
  <si>
    <t>Horizontal visibility graph; Multiscale sample entropy; Multiscale cross-sample entropy; EEG</t>
  </si>
  <si>
    <t>Word spotting; Sample selection; Graph representation; PHOCNet; Active learning</t>
  </si>
  <si>
    <t>Time-series database; Static data; Query rewriting; Semantic Web; SPARQL</t>
  </si>
  <si>
    <t>Nonlinear topology identification; Causality; Directed graphs; Kernels; Random feature approximation</t>
  </si>
  <si>
    <t>History; Data models; Predictive models; Spatiotemporal phenomena; Task analysis; Computational modeling; Markov processes; Graph representation; recurrent neural network (RNN); stochastic processes; temporal point processes (TPPs)</t>
  </si>
  <si>
    <t>Clustering algorithms; Numerical stability; Machine learning algorithms; Signal processing algorithms; Computer networks; Computational modeling; Data models; Hawkes processes; temporal point processes; clustering</t>
  </si>
  <si>
    <t>Graph pattern matching; Distributed processing; Temporal graph; Algorithm</t>
  </si>
  <si>
    <t>Digital text media; Causal graph extraction; Variable extraction; Time-series causality learning; Information extraction from news</t>
  </si>
  <si>
    <t>Reinforcement learning; traffic signal control; spatial-temporal modeling; graph attention network; temporal convolutional network</t>
  </si>
  <si>
    <t>Pattern matching; Computational modeling; Diseases; Topology; Schedules; Flow graphs; Software algorithms; Temporal graph; pattern matching; graph mining; algorithm</t>
  </si>
  <si>
    <t>multi-site photovoltaic forecasting; spatio-temporal correlation; graph signal processing; signal reconstruction</t>
  </si>
  <si>
    <t>Graphical models; structural changes; variational inference; simulated annealing; inverse spectral density matrices</t>
  </si>
  <si>
    <t>Graph signal processing; laplacian matrix; multivariate time series forecasting; ARCH; GARCH; multivariate GARCH; EGARCH; GJR-GARCH; O-GARCH</t>
  </si>
  <si>
    <t>Seismic observation; Seismic data compression; Random sampling; Compressive sensing; Sparse representation</t>
  </si>
  <si>
    <t>Imaging; Calcium; Dictionaries; Machine learning; Shape; Neurons; Optical imaging; Dictionary learning; sparse coding; calcium imaging; two-photon microscopy; re-weighted l1</t>
  </si>
  <si>
    <t>Ride-hailing; Order matching; Vehicle repositioning; Value function; Demand forecasting</t>
  </si>
  <si>
    <t>Boolean functions; Computational modeling; Data models; Gene expression; Genetic programming; Regulators; Sun; Asynchronous Boolean networks (BNs); cooperative coevolution (CC); gene regulatory networks (GRNs); genetic programming (GP); single-cell data</t>
  </si>
  <si>
    <t>Maintenance engineering; Multicore processing; Prediction algorithms; Software algorithms; Indexes; Computer science; Scalability; Core number maintenance; dense subgraph; dynamic graph; graph analytics</t>
  </si>
  <si>
    <t>Brain modeling; Probabilistic logic; Imaging; Inverse problems; Electromagnetics; Uncertainty; EEG; MEG source imaging; source localization; inverse problem; graph structure learning</t>
  </si>
  <si>
    <t>artificial intelligence; Big Data; public transport; smart cards; transportation</t>
  </si>
  <si>
    <t>Persistence; memory; correlations; clustering; Time-series analysis; Computational seismology; Seismic noise; Graph; Phase delay detection</t>
  </si>
  <si>
    <t>Abstract</t>
  </si>
  <si>
    <t>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hand.Conclusion Only TARM and DYNOTEARS are practical algorithms for real-world data in this use case. As causal discovery is a method to debias purely statistical relationships, the gradient-based causal discovery algorithm DYNOTEARS was found to be most suitable.</t>
  </si>
  <si>
    <t>Despite the large research effort devoted to learning dependencies between time series, the state of the art still faces a major limitation: existing methods learn partial correlations but fail to discriminate across distinct frequency bands. Motivated by many applications in which this differentiation is pivotal, we overcome this limitation by learning a block-sparse, frequency-dependent, partial correlation graph, in which layers correspond to different frequency bands, and partial correlations can occur over just a few layers. To this aim, we formulate and solve two nonconvex learning problems: the first has a closed-form solution and is suitable when there is prior knowledge about the number of partial correlations; the second hinges on an iterative solution based on successive convex approximation, and is effective for the general case where no prior knowledge is available. Numerical results on synthetic data show that the proposed methods outperform the current state of the art. Finally, the analysis of financial time series confirms that partial correlations exist only within a few frequency bands, underscoring how our methods enable the gaining of valuable insights that would be undetected without discriminating along the frequency domain.</t>
  </si>
  <si>
    <t>This paper proposes a framework for learning time-varying graphs with multiple temporal resolutions from multivariate time series signals. Our method estimates multiresolution graphs by a top-down approach: Graphs are learned from a segment of the time-series data corresponding to the desired temporal resolution, and we impose a constraint so that the learned graphs at the target temporal resolution are close to that in the lower temporal resolution. The proposed approach overcomes the problem of existing time-varying graph learning methods that must infer graphs in a single temporal resolution. Experimental results with synthetic data demonstrate that our method outperforms a baseline graph learning method.</t>
  </si>
  <si>
    <t>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t>
  </si>
  <si>
    <t>Time-series SAR interferometry (TS-InSAR) has been widely used to map the millimeter-scale interseismic displacements. Tropospheric noise is still a key error source that hinders further improvement of such measurement. In this article, a new spatiotemporal TS-InSAR tropospheric noise filtering is proposed to approach higher accuracy measurements. We first construct a 2-D arc network for all the data points, and based on that a temporal high-pass and spatial low-pass filtering is applied to estimate the tropospheric noise for all the points. To better filter out long-wavelength interseismic displacements in temporal high-pass filtering, we construct four-candidate time-series models to model the displacement histories for each arc. To avoid overfitting, the F hypothesis test is applied to select the most suitable model for all arcs. Notably, instead of the commonly used Delaunay network, the all-pairs-shortest-path algorithm in the graph theory is employed to reconstruct all arcs and to improve the applicability of the time-series model. Comprehensive tests using synthetic data and Sentinel-1 data covering Central San Andreas Fault (CSAF) creep section validate our tropospheric noise removal approach in measuring the interseismic velocity across the fault.</t>
  </si>
  <si>
    <t>Accurate causal discovery is significant for the data-driven root cause diagnosis. A novel framework based on modified temporal convolution and multi-head self-attention (MTCMS) is proposed for causal discovery and root cause diagnosis in multivariate time series. The temporal convolutional network is modified through feature reconstruction and skip connection to heighten the ability of feature extraction, which are further used to mine causalities. The multi-head self-attention is modified via threshold normalization for quantifiable causal inference, elevating the accuracy and generalization performance. Additionally, the calculation rule of root node score based on contrastive causal graph is proposed for root cause diagnosis. The MTCMS network outperforms all ablation structures and comparison methods in the causal discovery experiment based on synthetic data, manifesting its effectiveness and superiority. In the root cause diagnosis experiment based on the Tennessee Eastman benchmark process, the diagnosis result is consistent with the mechanism analysis, which further demonstrates its effectiveness. (C) 2022 Elsevier Ltd. All rights reserved.</t>
  </si>
  <si>
    <t>In the burgeoning ecosystem of Internet of Things, multivariate time-series (MTS) data has become ubiquitous, highlighting the fundamental role of time-series forecasting across numerous applications. The crucial challenge of long-term MTS forecasting requires adept models capable of capturing both intra- and inter-series dependencies. Recent advancements in deep learning, notably Transformers, have shown promise. However, many prevailing methods either marginalize interseries dependencies or overlook them entirely. To bridge this gap, this article introduces a novel series-aware framework, explicitly designed to emphasize the significance of such dependencies. At the heart of this framework lies our specific implementation: the SageFormer. As a series-aware graph-enhanced Transformer model, SageFormer proficiently discerns and models the intricate relationships between series using graph structures. Beyond capturing diverse temporal patterns, it also curtails redundant information across series. Notably, the series-aware framework seamlessly integrates with existing Transformer-based models, enriching their ability to comprehend interseries relationships. Extensive experiments on real-world and synthetic data sets validate the superior performance of SageFormer against contemporary state-of-the-art approaches.</t>
  </si>
  <si>
    <t>Very high requirement of co-registration accuracy better than 0.001 pixels for Sentinel-1 TOPS (Terrain Observation by Progressive Scan) mode presents a great challenge for application of SAR (synthetic aperture radar) interferometry in Earth Observation. The state-of-the-art techniques have demonstrated that the low coherence scenarios and abrupt loss of coherence between two arbitrary acquisitions are main sources of error to degrade the performance of TOPS time-series co-registration. In this paper, we present a modification to overcome both limitations through the coherence enhancement. The motive behind this is to improve the quality of observations before co-registration and meanwhile avoiding the coherence loss caused by fast decorrelation. To this end, principal components analysis based spatio-temporal filtering is first used to remove the artifacts in burst interferograms over strong noise areas. Rather than heuristically choosing a sub-set of interferograms as a small baseline technique does, we use Dijkstra's shortest path algorithm under graph theory framework to maximize the coherence of a sub-set interferograms. The performance of presented method against the state-of-the-art techniques is fully evaluated by synthetic data and a Sentinel-1A stack over a low coherence scene in Indonesia. Comprehensive comparisons demonstrate 9%-17% uncertainty reduction of time-series co-registration when applying our method.</t>
  </si>
  <si>
    <t>In the Industrial Internet of Things (IIoT), condition monitoring sensor signals from complex systems often exhibit nonlinear and stochastic spatial-temporal dynamics under varying conditions. These complex dynamics make fault detection (FD) particularly challenging. While previous methods effectively model these dynamics, they often neglect the evolution of relationships between sensor signals. Undetected shifts in these relationships can lead to significant system failures. Furthermore, these methods frequently misidentify novel operating conditions (OCs) as faults. Addressing these limitations, we propose dynamic edge via graph attention (DyEdgeGAT), a novel approach for early-stage FD in IIoT systems. DyEdgeGAT's primary innovation lies in a novel graph inference scheme for multivariate time series that tracks the evolution of relationships between time series, enabled by dynamic edge construction. Another key innovation of DyEdgeGAT is its ability to incorporate OC contexts into node dynamics modeling, enhancing its accuracy and robustness. We rigorously evaluated DyEdgeGAT using both a synthetic data set, simulating varying levels of fault severity, and a real-world industrial-scale multiphase flow facility benchmark with diverse fault types under varying OCs and detection complexities. The results show that DyEdgeGAT significantly outperforms other baseline methods in FD, particularly in the early stages with low severity, and exhibits robust performance under novel OCs. The code and data associated with our research are publicly accessible via https://github.com/EPFL-IMOS/dyedgegat.</t>
  </si>
  <si>
    <t>There have been several recent efforts towards developing representations for multivariate time-series in an unsupervised learning framework. Such representations can prove beneficial in tasks such as activity recognition, health monitoring, and anomaly detection. In this paper, we consider a setting where we observe time-series at each node in a dynamic graph. We propose a framework called GraphTNC for unsupervised learning of joint representations of the graph and the time-series. Our approach employs a contrastive learning strategy. Based on an assumption that the time-series and graph evolution dynamics are piecewise smooth, we identify local windows of time where the signals exhibit approximate stationarity. We then train an encoding that allows the distribution of signals within a neighborhood to be distinguished from the distribution of non-neighboring signals. We first demonstrate the performance of our proposed framework using synthetic data, and subsequently we show that it can prove beneficial for the classification task with real-world datasets.</t>
  </si>
  <si>
    <t>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t>
  </si>
  <si>
    <t>Estimating the unknown causal dependencies among graph-connected time series plays an important role in many applications, such as sensor network analysis, signal processing over cyber-physical systems, and finance engineering. Inference of such causal dependencies, often know as topology identification, is not well studied for non-linear non-stationary systems, and most of the existing methods are batch-based which are not capable of handling streaming sensor signals. In this paper, we propose an online kernel-based algorithm for topology estimation of nonlinear vector autoregressive time series by solving a sparse online optimization framework using the composite objective mirror descent method. Experiments conducted on real and synthetic data sets show that the proposed algorithm outperforms the state-of-the-art methods for topology estimation.</t>
  </si>
  <si>
    <t>Online topology estimation of graph-connected time series is challenging in practice, particularly because the dependencies between the time series in many real-world scenarios are nonlinear. To address this challenge, we introduce a novel kernel-based algorithm for online graph topology estimation. Our proposed algorithm also performs a Fourier-based random feature approximation to tackle the curse of dimensionality associated with kernel representations. Exploiting the fact that real-world networks often exhibit sparse topologies, we propose a group-Lasso based optimization framework, which is solved using an iterative composite objective mirror descent method, yielding an online algorithm with fixed computational complexity per iteration. We provide theoretical guarantees for our algorithm and prove that it can achieve sublinear dynamic regret under certain reasonable assumptions. In experiments conducted on both real and synthetic data, our method outperforms existing state-of-the-art competitors.</t>
  </si>
  <si>
    <t>Estimating time-varying graphs, i.e., a set of graphs in which one graph represents the relationship among nodes in a certain time slot, from observed data is a crucial problem in signal processing, machine learning, and data mining. Although many existing methods only estimate graphs with a single temporal resolution, the actual graphs often demonstrate different relationships in different temporal resolutions. In this study, we propose an approach for time-varying graph learning by leveraging a multiresolution property. The proposed method assumes that time-varying graphs can be decomposed by a linear combination of graphs localized at different temporal resolutions. We formulate a convex optimization problem for temporal multiresolution graph learning. In experiments using synthetic and real data, the proposed method demonstrates the promising objective performances for synthetic data, and obtains reasonable temporal multiresolution graphs from real data.</t>
  </si>
  <si>
    <t>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t>
  </si>
  <si>
    <t>Indoor shortest path query (ISPQ) is of fundamental importance for indoor location-based services (LBS). However, existing ISPQs ignore indoor temporal variations, e.g., the open and close times associated with entities like doors and rooms. In this paper, we define a new type of query called Indoor Temporal-variation aware Shortest Path Query (ITSPQ). It returns the valid shortest path based on the up-to-date indoor topology at the query time. A set of techniques is designed to answer ITSPQ efficiently. We design a graph structure (IT-Graph) that captures indoor temporal variations. To process ITSPQ using IT-Graph, we design two algorithms that check a door's accessibility synchronously and asynchronously, respectively. We experimentally evaluate the proposed techniques using synthetic data. The results show that our methods are efficient.</t>
  </si>
  <si>
    <t>This paper compares three different word image representations as base for label free sample selection for word spotting in historical handwritten documents. These representations are a temporal pyramid representation based on pixel counts, a graph based representation, and a pyramidal histogram of characters (PHOC) representation predicted by a PHOCNet trained on synthetic data. We show that the PHOC representation can help to reduce the amount of required training samples by up to 69% depending on the dataset, if it is learned iteratively in an active learning like fashion. While this works for larger datasets containing about 1 700 images, for smaller datasets with 100 images, we find that the temporal pyramid and the graph representation perform better.</t>
  </si>
  <si>
    <t>Industrial information models are standardised ways of representing industrial devices, equipment , processes together with the data collected from associated sensors , control systems. Companies invest in such models to enable digitalisation and modular, reusable solutions. They also invest heavily in analytics (e.g. machine learning) based on time series data sets to improve operations. Queries that use such context to retrieve time series data can make industrial data sets more accessible to practitioners performing analytics and application development. Moreover, they can enable scalable deployment of resulting analytical models. Industrial availability constraints require that queries over context and time series should be portable in general, as they should be able retrieve data for training in a cloud setting and production data for deployment in an on-premise setting. Solving this problem is challenging with existing approaches as context and time series data tend to exist in separate, specialised databases. We address the issue by proposing a hybrid query engine, namely Chrontext, in the setting of a SPARQL database hosting the static model, and an arbitrary time series database. We show how with a set of annotations in the knowledge graph, SPARQL queries can be evaluated over such a hybrid architecture. We provide a proof showing that our approach correctly answers SPARQL 1.1. queries. We implement our approach in Rust under the Apache 2.0 license, and use the Apache Arrow-based Polars library together with configurable pushdowns to achieve high performance. We compare the performance of Chrontext against Ontop, one of the most prominent virtual knowledge graph systems, on a synthetic data set based on industrial standards. Data are stored in a S3 data lake and PostgreSQL with the Dremio data lakehouse as the SQL integrator. We find that our approach performs 10x to 85x faster and consumes much less memory than Ontop.</t>
  </si>
  <si>
    <t>Online topology estimation of graph-connected time series is challenging, especially since the causal dependencies in many real-world networks are nonlinear. In this paper, we propose a kernel-based algorithm for graph topology estimation. The algorithm uses a Fourier-based Random feature approximation to tackle the curse of dimensionality associated with the kernel representations. Exploiting the fact that the real-world networks often exhibit sparse topologies, we propose a group lasso based optimization framework, which is solve using an iterative composite objective mirror descent method, yielding an online algorithm with fixed computational complexity per iteration. The experiments conducted on real and synthetic data show that the proposed method outperforms its competitors.</t>
  </si>
  <si>
    <t>Temporal point process is widely used for sequential data modeling. In this article, we focus on the problem of modeling sequential event propagation in graph, such as retweeting by social network users and news transmitting between websites. Given a collection of event propagation sequences, the conventional point process model considers only the event history, i.e., embed event history into a vector, not the latent graph structure. We propose a graph biased temporal point process (GBTPP) leveraging the structural information from graph representation learning, where the direct influence between nodes and indirect influence from event history is modeled. Moreover, the learned node embedding vector is also integrated into the embedded event history as side information. Experiments on a synthetic data set and two real-world data sets show the efficacy of our model compared with conventional methods and state-of-the-art ones.</t>
  </si>
  <si>
    <t>The loosely-coupled microservices architecture has become increasingly popular due to the advantage of its modularity and elasticity in cloud applications. However, it also seriously complicates cloud management and degrades the performance of IT operations. Today, Al has been the locus of commerce and transactions, and transforming traditional IT operations for speed and growth. Inferring the dependencies among an application's microservices can greatly help SREs diagnose possible root causes of performance issues, which is a hard task due to the complex topology of microservices is often unknown in practice. Prior literature on detecting causal structure for cloud services requires significant application instrumentation, which rarely holds in reality. In this work, we leverage Granger causality models on just monitored log data of a microservice-based application to infer the impact of dependencies between microservices. We first describe the approach of modeling discrete log data as time series, and then formally define the Granger causality problem using both linear and nonlinear autoregressive models. Finally, we conduct an extensive comparative study to show the performance of the state-of-the-art linear and nonlinear (i.e.. neural) Granger causality methods on both synthetic data and real-world log data from a publicly available benchmark microservice system. Our preliminary results indicate that neural Granger causality models outperform traditional Granger causality methods on both linear and nonlinear time series data, while for large linear time series, linear Granger causal models are more efficient with high accuracy. Using the real-world log data, we also demonstrate our interesting findings on inferred dependency graph of microservices by linear and neural Granger causality models.</t>
  </si>
  <si>
    <t>We introduce a fast algorithm for parameter estimation in multidimensional Hawkes processes, a widely used class of temporal point processes for mutually exciting discrete event data. Our approach assumes a low-rank structure on the infectivity parameter of the multidimensional Hawkes process, and relies on a method of moments estimator. Notably, it requires only a single scan of the data, and consistently recovers an accurate representation of the underlying graph structure, while sidestepping numerical stability issues inherent in Hawkes process estimation. Finally, we make connections between our method and spectral clustering, and observe that our contributions result in natural methods for clustering temporal point processes. Our algorithm can be used for community detection and graph cluster discovery in large networks of asynchronous event streams such as high-dimensional neural spike trains, log streams of large computer networks, or high-frequency financial data. We present favorable empirical results on synthetic data, and an application to clustering currency pairs via high-frequency price jumps.</t>
  </si>
  <si>
    <t>Graph pattern matching, one of the most fundamental graph problems, has been extensively investigated in the literature. Nonetheless, existing efforts mostly focus on general graphs without time information, few studies concentrate on temporal graphs, where a relationship between two vertices takes place at a specific moment and lingers for some time. Moreover, real-world temporal networks become increasingly large, and are usually distributed over multiple machines. These foster the need for evaluating pattern matching on distributed temporal graphs. In this paper, we propose a new notion so-called time-respecting flow graph, in which all paths spreading from one vertex to another are time-respecting (i.e., a series of contacts with non-decreasing time), and one vertex is distinguished as the root from which other vertices can be reached via a time-respecting path. Based on this, we explore the problem of distributed time-respecting flow graph pattern matching on temporal graphs, which could be applied in many fields such as epidemiology, social media, national security, communication, to name just a few. We present a distributed baseline algorithm based on GraphX as well as an optimized algorithm that utilizes the properties of time-respecting flow graph and the analyses of distributed algorithms to boost efficiency. Extensive experimental evaluation using both real and synthetic data sets demonstrates the efficiency and scalability of our proposed algorithms.</t>
  </si>
  <si>
    <t>Causal graph extraction from news has the potential to aid in the understanding of complex scenarios. In particular, it can help explain and predict events, as well as conjecture about possible cause-effect connections. However, limited work has addressed the problem of large-scale extraction of causal graphs from news articles. This article presents a novel framework for extracting causal graphs from digital text media. The framework relies on topic-relevant variables representing terms and ongoing events that are selected from a domain under analysis by applying specially developed information retrieval and natural language processing methods. Events are represented as event-phrase embeddings, which make it possible to group similar events into semantically cohesive clusters. A time series of the selected variables is given as input to a causal structure learning techniques to learn a causal graph associated with the topic that is being examined. The complete framework is applied to the New York Times dataset, which covers news for a period of 246 months (roughly 20 years), and is illustrated through a case study. An initial evaluation based on synthetic data is carried out to gain insight into the most effective time-series causality learning techniques. This evaluation comprises a systematic analysis of nine state-of-the-art causal structure learning techniques and two novel ensemble methods derived from the most effective techniques. Subsequently, the complete framework based on the most promising causal structure learning technique is evaluated with domain experts in a real-world scenario through the use of the presented case study. The proposed analysis offers valuable insights into the problems of identifying topic-relevant variables from large volumes of news and learning causal graphs from time series.</t>
  </si>
  <si>
    <t>Adaptive traffic signal control plays a significant role in the construction of smart cities. This task is challenging because of many essential factors, such as cooperation among neighboring intersections and dynamic traffic scenarios. First, to facilitate the cooperation of traffic signals, existing work adopts graph neural networks to incorporate the temporal and spatial influences of the surrounding intersections into the target intersection, where spatial-temporal information is used separately. However, one drawback of these methods is that the spatial-temporal correlations are not adequately exploited to obtain a better control scheme. Second, in a dynamic traffic environment, the historical state of the intersection is also critical for predicting future signal switching. Previous work mainly solves this problem using the current intersection's state, neglecting the fact that traffic flow is continuously changing both spatially and temporally and does not handle the historical state. In this paper, we propose a novel neural network framework named DynSTGAT, which integrates dynamic historical state into a new spatial-temporal graph attention network to address the above two problems. More specifically, our DynSTGAT model employs a novel multi-head graph attention mechanism, which aims to adequately exploit the joint relations of spatial-temporal information. Then, to efficiently utilize the historical state information of the intersection, we design a sequence model with the temporal convolutional network (TCN) to capture the historical information and further merge it with the spatial information to improve its performance. Extensive experiments conducted in the multi-intersection scenario on synthetic data and real-world data confirm that our method can achieve superior performance in travel time and throughput against the state-of-the-art methods.</t>
  </si>
  <si>
    <t>Author summary Neurons form complex networks that play a critical role in the development and aging of the brain, as well as in health and disease. Understanding how these networks form and evolve over time can lead us to advances in neuronal and cognitive health. Previous studies have mainly used summary statistics or graph features recorded at different points in time to analyze neuronal networks. However, this approach ignores the temporal dependency of these features and may lead to discovering spurious patterns in the data. In order to thoroughly characterize neuronal networks, time dependencies must be explicitly modeled. We present a statistical model that captures both the underlying structural and temporal dynamics of neuronal networks. Neurons form complex networks that evolve over multiple time scales. In order to thoroughly characterize these networks, time dependencies must be explicitly modeled. Here, we present a statistical model that captures both the underlying structural and temporal dynamics of neuronal networks. Our model combines the class of Stochastic Block Models for community formation with Gaussian processes to model changes in the community structure as a smooth function of time. We validate our model on synthetic data and demonstrate its utility on three different studies using in vitro cultures of dissociated neurons.</t>
  </si>
  <si>
    <t>Graph pattern matching has been extensively investigated on general graphs without time information over decades. Nevertheless, few studies focus on temporal graphs, where a relationship between two vertices takes place at a specific moment and lingers for some time. In this paper, we propose a new notion so-called time-respecting flow graph, in which all paths are time-respecting (i.e., a sequence of contacts with non-decreasing time), and one vertex is distinguished as the root, from which other vertices can be reached via a time-respecting path. Based on this, we explore the problem of time-respecting flow graph pattern matching on temporal graphs. This problem motivates important applications in epidemiology, information diffusion, crime detection, etc. To address it, we present one baseline algorithm as well as two optimized algorithms that utilize several efficient matching strategies and topological sort based technique to boost efficiency. Extensive experimental evaluation using both real and synthetic data sets demonstrates the effectiveness and efficiency of our proposed algorithms. Compared with baseline method, our optimized algorithms could achieve up to three orders of magnitude speedup.</t>
  </si>
  <si>
    <t>Traffic state identification is an important step before deploying many applications in intelligent transportation systems. Under the background of traffic big data and internet of things, traditional methods are unable to utilize heterogeneous data or deal with spatial-temporal correlations. Methods based on Graph Neural Network (GNN) are promising solutions to these issues, but are rarely used. This study applied a GNN-based model to the tidal traffic route identification. The traffic state identification was modeled as a node classification problem. A novel graph representation of road networks based on flow turns was proposed to represent heterogeneous data and tackle data missing issues. The Graph Attention Network (GAT) and Gate Recurrent Unit (GRU) were adopted to model the spatial-temporal correlations. Compromising on the difficulty of diverse real data collection, the model was trained with synthetic data and tested with real data. With tidal traffic as an example, results showed the good adaptabilities of GNN in traffic state identification, and the outperformance of proposed graph structure against two traditional representations. Overall, this study indicated the practical prospects of GNN in traffic state identification.</t>
  </si>
  <si>
    <t>Operating power systems with large amounts of renewables requires predicting future photovoltaic (PV) production with fine temporal and spatial resolution. State-of-the-art techniques combine numerical weather predictions with statistical post-processing, but their resolution is too coarse for applications such as local congestion management. In this paper we introduce computing methods for multi-site PV forecasting, which exploit the intuition that PV systems provide a dense network of simple weather stations. These methods rely entirely on production data and address the real-life challenges that come with them, such as noise and gaps. Our approach builds on graph signal processing for signal reconstruction and for forecasting with a linear, spatio-temporal autoregressive (ST-AR) model. It also introduces a data-driven clear-sky production estimation for normalization. The proposed framework was evaluated over one year on both 303 real PV systems under commercial monitoring across Switzerland, and 1000 simulated ones based on high-resolution weather data. The results demonstrate the performance and robustness of the approach: with gaps of four hours on average in the input data, the average daytime NRMSE over a six-hour forecasting horizon (in 15 min steps) and over all systems is 13.8% and 9% for the real and synthetic data sets, respectively.</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</si>
  <si>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{O}(NP&lt;^&gt;3)$O(NP3)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{O}(NP&lt;^&gt;2)$O(NP2).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t>
  </si>
  <si>
    <t>Graphical models allow to describe the interplay among variables of a system through a compact representation, suitable when relations evolve over time. For example, in a biological setting, genes interact differently depending on external environmental or metabolic factors. To incorporate this dynamics a viable strategy is to estimate a sequence of temporally related graphs assuming similarity among samples in different time points. While adjacent time points may direct the analysis towards a robust estimate of the underlying graph, the resulting model will not incorporate long-term or recurrent temporal relationships. In this work we propose a dynamical network inference model that leverages on kernels to consider general temporal patterns (such as circadian rhythms or seasonality). We show how our approach may also be exploited when the recurrent patterns are unknown, by coupling the network inference with a clustering procedure that detects possibly non-consecutive similar networks. Such clusters are then used to build similarity kernels. The convexity of the functional is determined by whether we impose or infer the kernel. In the first case, the optimisation algorithm exploits efficiently proximity operators with closed-form solutions. In the other case, we resort to an alternating minimisation procedure which jointly learns the temporal kernel and the underlying network. Extensive analysis on synthetic data shows the efficacy of our models compared to state-of-the-art methods. Finally, we applied our approach on two real-world applications to show how considering long-term patterns is fundamental to have insights on the behaviour of a complex system.</t>
  </si>
  <si>
    <t>Data that house topological information is manifested as relationships between multiple variables via a graph formulation. Various methods have been developed for analyzing time series on the nodes of graphs but research works on graph signals with volatility are limited. In this article, we propose a graph framework of multivariate Generalized Autoregressive Conditional Heteroscedasticity (GARCH) models from the spectral perspective with the Laplacian matrix. We introduce three graphical GARCH models: one symmetric Graph GARCH model and two asymmetric models namely Graph Exponential GARCH and Graph GJR-GARCH. Assuming that graph signals and their residuals are graph stationary, this framework can decompose the multivariate GARCH models into a linear combination of several univariate GARCH processes in the graph spectral domain. Moreover, it is possible to reduce the number of parameters with the graph topology information and further reduce the estimation cost by utilizing the principal components of the graph signal in the frequency domain. These proposed models are tested on synthetic data and on two real applications for weather prediction and wind power forecasting. With the data and GARCH model residuals being graph stationary, the experiment results demonstrate that these three graphical models can make multi-step predictions more accurately than non-graph GARCH models and Graph Vector Autoregressive Moving Average model.</t>
  </si>
  <si>
    <t>Interacting subsystems are commonly described by networks, where multimodal behaviour found in most natural or engineered systems found recent extension in form of multilayer networks. Since multimodal interaction is often not dictated by network topology alone and may manifest in form of cross-layer information exchange, multilayer network flow becomes of relevant further interest. Rationale can be found in most interacting subsystems, where a form of multimodal flow across layers can be observed in e.g., chemical processes, energy networks, logistics, finance, or any other form of conversion process relying on the laws of conservation. To this end, the formal notion of heterogeneous network flow is proposed, as a multilayer flow function aligned with the theory of network flow. Furthermore, dynamic equivalence is established with the framework of Petri nets, as the baseline model of concurrent event systems. Application of the resulting multilayer Laplacian flow and flow centrality is presented, along with graph learning based inference of multilayer relationships over multimodal data. On synthetic data the proposed framework demonstrates benefits of multimodal flow derivation in critical component identification. It also displays applicability in relationship inference (learning based function approximation) on multimodal time series. On real-world data the proposed framework provides, among others, multimodal flow interpretation of U.S. economic activity, uncovering underlying empirical steady state probability distribution, as well as inherent network (economic) robustness.</t>
  </si>
  <si>
    <t>We present a new sampling scheme for seismic network observations and seismic exploration data acquisition based on compressive sensing theory. According to this theory, seismic data can be recovered with a compressive sampling scheme, using fewer samples than in traditional methods, provided that two prerequisites are met. The first prerequisite is sparse representation of the data in a transform domain. We use a one-dimensional wavelet transform to sparsely express the waveform data of the seismic network. For seismic exploration data, we use a curvelet transform as the sparse transform. The second prerequisite is incoherence between the sampling method and sparse transform. To enhance the incoherence, we propose a random sampling scheme for network and exploration observations, as random sampling is incoherent to most data transforms. In particular, we propose temporal random sampling for seismic network data observation and a full random sampling scheme in time and space for seismic exploration data. Compared with random sampling in spatial dimensions only, full random sampling further enhances incoherence because it adds the temporal dimension for randomization. Finally, seismic data are recovered from the compressive sampling data by calculating a sparsity-promoting algorithm in the sparse transform domain. We perform a real data test and synthetic data tests to illustrate that the proposed method can be used stably to achieve compressive sampling and successful recovery of high-resolution seismic waveform data. The results show that good sparse representation of the data and high incoherence between the sampling scheme and the data are important for successful recovery.</t>
  </si>
  <si>
    <t>Optical imaging of calcium signals in the brain has enabled researchers to observe the activity of hundreds-to-thousands of individual neurons simultaneously. Current methods predominantly use morphological information, typically focusing on expected shapes of cell bodies, to better identify neurons in the field-of-view. The explicit shape constraints limit the applicability of automated cell identification to other important imaging scales with more complex morphologies, e.g., dendritic or widefield imaging. Specifically, fluorescing components may be broken up, incompletely found, or merged in ways that do not accurately describe the underlying neural activity. Here we present Graph Filtered Temporal Dictionary (GraFT), a new approach that frames the problem of isolating independent fluorescing components as a dictionary learning problem. Specifically, we focus on the time-traces-the main quantity used in scientific discovery-and learn a time trace dictionary with the spatial maps acting as the presence coefficients encoding which pixels the time-traces are active in. Furthermore, we present a novel graph filtering model which redefines connectivity between pixels in terms of their shared temporal activity, rather than spatial proximity. This model greatly eases the ability of our method to handle data with complex non-local spatial structure. We demonstrate important properties of our method, such as robustness to morphology, simultaneously detecting different neuronal types, and implicitly inferring number of neurons, on both synthetic data and real data examples. Specifically, we demonstrate applications of our method to calcium imaging both at the dendritic, somatic, and widefield scales.</t>
  </si>
  <si>
    <t>Online ride-hailing platforms, such as Uber, DiDi and Lyft, have significantly revolutionized the way of travelling and improved traffic efficiency. How to match orders with feasible vehicles and how to dispatch idle vehicles to the area with potential riding demands are two key issues for the ride-hailing platforms. However, existing works usually deal with only one of them and ignore the fact that the current matching and repositioning results may affect the supply and demand in the future since they will affect the future vehicle distributions in different zones. In this paper, we use the vehicle value function to characterize the spatio-temporal value of vehicles. At each decision-making round, we first match orders with vehicles by using bipartite graph maximum weight matching with the vehicle value function. Then we will provide idle vehicles with repositioning suggestions, where we predict the riding demand in each zone in the future, and then use a greedy strategy combined with vehicle value function to maximize social welfare. Extensive experiments based on real-world data as well the analytic synthetic data demonstrate that our method can outperform benchmark approaches in terms of the long-term social welfare and service ratio.</t>
  </si>
  <si>
    <t>Recent advances in high-throughput single-cell technologies provide new opportunities for computational modeling of gene regulatory networks (GRNs) with an unprecedented amount of gene expression data. Current studies on the Boolean network (BN) modeling of GRNs mostly depend on bulk time-series data and focus on the synchronous update scheme due to its computational simplicity and tractability. However, such synchrony is a strong and rarely biologically realistic assumption. In this study, we adopt the asynchronous update scheme instead and propose a novel framework called SgpNet to infer asynchronous BNs from single-cell data by formulating it into a multiobjective optimization problem. SgpNet aims to find BNs that can match the asynchronous state transition graph (STG) extracted from single-cell data and retain the sparsity of GRNs. To search the huge solution space efficiently, we encode each Boolean function as a tree in genetic programming and evolve all functions of a network simultaneously via cooperative coevolution. Besides, we develop a regulator preselection strategy in view of GRN sparsity to further enhance learning efficiency. An error threshold estimation heuristic is also proposed to ease tedious parameter tuning. SgpNet is compared with the state-of-the-art method on both synthetic data and experimental single-cell data. Results show that SgpNet achieves comparable inference accuracy, while it has far fewer parameters and eliminates artificial restrictions on the Boolean function structures. Furthermore, SgpNet can potentially scale to large networks via straightforward parallelization on multiple cores.</t>
  </si>
  <si>
    <t>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t>
  </si>
  <si>
    <t>This article studies the core maintenance problem in dynamic graphs. The core number is a fundamental index reflecting the cohesiveness of a graph, which is widely used in large-scale graph analytics. The core maintenance problem requires updating the core numbers of vertices after a set of edges and vertices are inserted into or deleted from the graph. Previous works focus on the scenario of single-edge updates and process the edges one by one when multiple edges are inserted/deleted. We initiate the studies of processing multiple edges concurrently to improve the efficiency of core maintenance. Specifically, we discover a structure of inserted/deleted edges, superior edge set, which can be processed together to greatly reduce unnecessarily repeated visits of vertices in the procedure of sequential edge processing. Based on the structure of the superior edge set, efficient algorithms are then devised for incremental and decremental core maintenance, respectively. Compared with single-edge processing algorithms, our algorithms show a significant speedup in the processing time. Furthermore, our algorithms admit parallel implementations, which can further improve the update efficiency. We also conduct extensive experiments on different types of real-world, temporal, and synthetic data sets, and the results illustrate that the proposed algorithms exhibit good efficiency, stability, and scalability.</t>
  </si>
  <si>
    <t>Brain source imaging is an important method for noninvasively characterizing brain activity using Electroencephalogram (EEG) or Magnetoencephalography (MEG) recordings. Traditional EEG/MEG Source Imaging (ESI) methods usually assume the source activities at different time points are unrelated, and do not utilize the temporal structure in the source activation, making the ESI analysis sensitive to noise. Some methods may encourage very similar activation patterns across the entire time course and may be incapable of accounting the variation along the time course. To effectively deal with noise while maintaining flexibility and continuity among brain activation patterns, we propose a novel probabilistic ESI model based on a hierarchical graph prior. Under our method, a spanning tree constraint ensures that activity patterns have spatiotemporal continuity. An efficient algorithm based on an alternating convex search is presented to solve the resulting problem of the proposed model with guaranteed convergence. Comprehensive numerical studies using synthetic data on a realistic brain model are conducted under different levels of signal-to-noise ratio (SNR) from both sensor and source spaces. We also examine the EEG/MEG datasets in two real applications, in which our ESI reconstructions are neurologically plausible. All the results demonstrate significant improvements of the proposed method over benchmark methods in terms of source localization performance, especially at high noise levels.</t>
  </si>
  <si>
    <t>Dynamic functional connectivity investigates how the interactions among brain regions vary over the course of an fMRI experiment. Such transitions between different individual connectivity states can be modulated by changes in underlying physiological mechanisms that drive functional network dynamics, e.g., changes in attention or cognitive effort. In this paper, we develop a multi-subject Bayesian framework where the estimation of dynamic functional networks is informed by time-varying exogenous physiological covariates that are simultaneously recorded in each subject during the fMRI experiment. More specifically, we consider a dynamic Gaussian graphical model approach where a non-homogeneous hidden Markov model is employed to classify the fMRI time series into latent neurological states. We assume the state-transition probabilities to vary over time and across subjects as a function of the underlying covariates, allowing for the estimation of recurrent connectivity patterns and the sharing of networks among the subjects. We further assume sparsity in the network structures via shrinkage priors, and achieve edge selection in the estimated graph structures by introducing a multi-comparison procedure for shrinkage-based inferences with Bayesian false discovery rate control. We evaluate the performances of our method vs alternative approaches on synthetic data. We apply our modeling framework on a resting-state experiment where fMRI data have been collected concurrently with pupillometry measurements, as a proxy of cognitive processing, and assess the heterogeneity of the effects of changes in pupil dilation on the subjects' propensity to change connectivity states. The heterogeneity of state occupancy across subjects provides an understanding of the relationship between increased pupil dilation and transitions toward different cognitive states.</t>
  </si>
  <si>
    <t>Individual mobility is driven by activities and thus restricted geographically, especially for trip destination prediction in public transport. Existing statistical learning based models focus on extracting mobility regularity in predicting an individual's mobility. However, they are limited in modeling varied spatial mobility patterns driven by the same activity (e.g. an individual may travel to different locations for shopping). The paper proposes a deep learning model with activity, geographic and sequential (DeepAGS) information in predicting an individual's next trip destination in public transport. DeepAGS models the semantic features of activity and geography by using word embedding and graph convolutional network. An adaptive neural fusion gate mechanism is proposed to dynamically fuse the mobility activity and geographical information given the current trip information. Besides, DeepAGS uses the gated recurrent unit to capture the temporal mobility regularity. The approach is validated by using a real-world smartcard dataset in urban railway systems and comparing with state-of-the-art models. The results show that the proposed model outperforms its peers in terms of accuracy and robustness by effectively integrating the activity and geographical information relevant to a trip context. Also, we illustrate and verify the working mechanism of the DeepAGS model using the synthetic data constructed using real-world data. The DeepAGS model captures both the activity and geographic information of hidden mobility activities and thus could be potentially applicable to other mobility prediction tasks, such as bus trip destinations and individual GPS locations. The paper proposes a deep learning model with activity, geographic and sequential (DeepAGS) information in predicting an individual's next trip destination in public transport. DeepAGS models the semantic features of activity and geography by using word2vec and graph convolutional network. An adaptive neural fusion gate mechanism is proposed to dynamically fuse the mobility activity and geographical information given the current trip information. image</t>
  </si>
  <si>
    <t>We present a phase-delay detection procedure adapted for seismic arrays composed of a large number of stations. We use graph formalism to introduce a direct method to compute station phase delays starting from inter-station phase differences deduced from noise cross-correlation functions. We focus this study on surface wave main arrival as phase-difference evaluation at each station requires high coherence level. Then, we perform numerical experiments with synthetic data computed as a realistic and dense network of 79 stations in a 400 by 400 km(2 )square box. For one of the 79 stations, we simulate a phase difference of 15 per cent of the signal period. Further, we evaluate the accuracy and precision of phase-delay estimation at each station with regard to the quality of the cross-correlation functions (i.e. the signal-to-noise ratio). When the inter-station coherence levels are larger than 0.6 (i.e. a high-quality signal), we show good agreement between the phase-delay estimation and its expected value of 15 per cent of the signal period. We introduce a coherence-weighted estimate of phase delay and show that applying this weighting allows us to be less vulnerable to phase-delay underestimation for intermediate-quality signals. Then, the method is applied to experimental data recorded by a high density nodal array with 923 vertical geophones with 19 d of continuous records, centred on the 600 by 600 m(2) damage zone of the Clark branch of the San Jacinto Fault Zone, Southern California (USA). We verify that the San Jacinto network is well synchronized, as most of the estimated phase delays are less than 2 per cent of the central period of the signal, and they are associated with high levels of inter-station coherence. More surprisingly, the spatial features of the estimated phase delays show deterministic geographical patterns that are related to topography and that exhibit similarities with phase velocity maps at 4 . 5 Hz from previous 3-D v elocity inv ersions. This suggests that the topo graphic ef fect may be accounted for to estimate accurate phase dela ys. Also, w e note that the temporal variability of the estimated phase delays in the case of the San Jacinto data set are related to atmospheric forcing. Our direct method for estimating phase delays is applicable to structure-oriented monitoring studies, and it opens perspectives in the monitoring of seismic velocity variations.</t>
  </si>
  <si>
    <t>Publication Year</t>
  </si>
  <si>
    <t>http://dx.doi.org/10.1371/journal.pcbi.1007834</t>
  </si>
  <si>
    <t>Citation Count</t>
  </si>
  <si>
    <t>ID</t>
  </si>
  <si>
    <t>Yang, Guang; Kulkarni, Ninad; Dua, Paavani; Khullar, Dipika; Chirayath, Alex Anto</t>
  </si>
  <si>
    <t>Chen, Kaixin; Zhang, Lin; Wang, Zhong; Zhao, Shengjie; Zhou, Yicong</t>
  </si>
  <si>
    <t>Wu, Libing; Wang, Min; Wu, Dan; Wu, Jia</t>
  </si>
  <si>
    <t>Ni, Peng; Hanai, Masatoshi; Tan, Wen Jun; Cai, Wentong</t>
  </si>
  <si>
    <t>Chen, Yueting; Yu, Xiaohui; Koudas, Nick; Yu, Ziqiang</t>
  </si>
  <si>
    <t>Anomaly detection for spatiotemporal data in action</t>
  </si>
  <si>
    <t>Skeleton-aware graph-based adversarial networks for human pose estimation from sparse imus</t>
  </si>
  <si>
    <t>DynSTGAT: Dynamic spatial-temporal graph attention network for traffic signal control</t>
  </si>
  <si>
    <t>Efficient closeness centrality computation in time-evolving graphs</t>
  </si>
  <si>
    <t>Evaluating temporal queries over video feeds</t>
  </si>
  <si>
    <t>https://doi.org/10.1145/3534678.3542626</t>
  </si>
  <si>
    <t>https://doi.org/10.1145/3669904</t>
  </si>
  <si>
    <t>https://doi.org/10.1145/3459637.3482254</t>
  </si>
  <si>
    <t>https://doi.org/10.1145/3341161.3342865</t>
  </si>
  <si>
    <t>https://doi.org/10.1145/3448016.3452803</t>
  </si>
  <si>
    <t>Recently, sparse-inertial human pose estimation (SI-HPE) with only a few IMUs has shown great potential in various fields. The most advanced work in this area achieved fairish results using only six IMUs. However, there are still two major issues that remain to be addressed. First, existing methods typically treat SI-HPE as a temporal sequential learning problem and often ignore the important spatial prior of skeletal topology. Second, there are far more synthetic data in their training data than real data, and the data distribution of synthetic data and real data is quite different, which makes it difficult for the model to be applied to more diverse real data. To address these issues, we propose “Graph-based Adversarial Inertial Poser (GAIP)”, which tracks body movements using sparse data from six IMUs. To make full use of the spatial prior, we design a multi-stage pose regressor with graph convolution to explicitly learn the skeletal topology. A joint position loss is also introduced to implicitly mine spatial information. To enhance the generalization ability, we propose supervising the pose regression with an adversarial loss from a discriminator, bringing the ability of adversarial networks to learn implicit constraints into full play. Additionally, we construct a real dataset that includes hip support movements and a synthetic dataset containing various motion categories to enrich the diversity of inertial data for SI-HPE. Extensive experiments demonstrate that GAIP produces results with more precise limb movement amplitudes and relative joint positions, accompanied by smaller joint angle and position errors compared to state-of-the-art counterparts. The datasets and codes are publicly available at .</t>
  </si>
  <si>
    <t>Adaptive traffic signal control plays a significant role in the construction of smart cities. This task is challenging because of many essential factors, such as cooperation among neighboring intersections and dynamic traffic scenarios. First, to facilitate the cooperation of traffic signals, existing work adopts graph neural networks to incorporate the temporal and spatial influences of the surrounding intersections into the target intersection, where spatial-temporal information is used separately. However, one drawback of these methods is that the spatial-temporal correlations are not adequately exploited to obtain a better control scheme. Second, in a dynamic traffic environment, the historical state of the intersection is also critical for predicting future signal switching. Previous work mainly solves this problem using the current intersection's state, neglecting the fact that traffic flow is continuously changing both spatially and temporally and does not handle the historical state.In this paper, we propose a novel neural network framework named DynSTGAT, which integrates dynamic historical state into a new spatial-temporal graph attention network to address the above two problems. More specifically, our DynSTGAT model employs a novel multi-head graph attention mechanism, which aims to adequately exploit the joint relations of spatial-temporal information. Then, to efficiently utilize the historical state information of the intersection, we design a sequence model with the temporal convolutional network (TCN) to capture the historical information and further merge it with the spatial information to improve its performance. Extensive experiments conducted in the multi-intersection scenario on synthetic data and real-world data confirm that our method can achieve superior performance in travel time and throughput against the state-of-the-art methods.</t>
  </si>
  <si>
    <t>Closeness centrality is one of the key indicators for vertex importance in social network analytics. Since social networks are constantly growing, it is essential to monitor a vertex's closeness centrality through time in order to study its trend in influential power. In this paper, we model dynamic social networks as a time-evolving graph (a sequence of graph snapshots through time) and work on the problem of computing a vertex's closeness centrality for all graph snapshots.We propose novel algorithms that efficiently utilize graph temporal information, and give theoretical analysis on its time complexity, which is shown to be small for real-world social networks. Experiments on various real-world data sets show speedups of one to two orders of magnitude compared to existing graph topology based algorithms. Lastly, we create synthetic data sets to show how topological and temporal graph features affect the closeness centrality computation time.</t>
  </si>
  <si>
    <t>--</t>
  </si>
  <si>
    <t>Efficient Estimation of Local Causal Effects in Graphs via Neighborhood Pooling</t>
  </si>
  <si>
    <t>Study on Improving Reliability of Synthetic Battery Data with TimeGAN Pre-processing</t>
  </si>
  <si>
    <t>A GAN Data Augmentation approach for trading applications in European Carbon Emission Allowances</t>
  </si>
  <si>
    <t>Heterogeneous Graph Neural Networks for Analysing Spatio-Temporal Cell Surface Dynamics</t>
  </si>
  <si>
    <t>Random Feature Approximation for Online Nonlinear Graph Topology Identification</t>
  </si>
  <si>
    <t>Highly Scalable and Provably Accurate Classification in Poincaré Balls</t>
  </si>
  <si>
    <t>Spatiotemporal Data Modelling for Epidemiological Research in Hospitals</t>
  </si>
  <si>
    <t>A Comparative Study of Video-Based Human Representations for American Sign Language Alphabet Generation</t>
  </si>
  <si>
    <t>In this work, we formalize the problem of causal inference over graph-based relational time-series data where each node in the graph has one or more time-series associated to it. We propose causal inference models for this problem that leverage both the graph topology and time-series to accurately estimate local causal effects of nodes. Furthermore, the relational time-series causal inference models are able to estimate local effects for individual nodes by exploiting local node-centric temporal dependencies and topological/structural dependencies. We show that simpler causal models that do not consider the graph topology are recovered as special cases of the proposed relational time-series causal inference model. We describe how the DurbinWu-Hausman test of specification can be used to test for the consistency of the proposed estimator from data. Empirically, we demonstrate the effectiveness of the causal inference models on both synthetic data with known ground-truth and a largescale observational relational time-series data set collected from Wikipedia.</t>
  </si>
  <si>
    <t>In the Industrial Internet of Things (IIoT), condition monitoring sensor signals from complex systems often exhibit nonlinear and stochastic spatial-temporal dynamics under varying conditions. These complex dynamics make fault detection (FD) particularly challenging. While previous methods effectively model these dynamics, they often neglect the evolution of relationships between sensor signals. Undetected shifts in these relationships can lead to significant system failures. Furthermore, these methods frequently misidentify novel operating conditions (OCs) as faults. Addressing these limitations, we propose dynamic edge via graph attention (DyEdgeGAT), a novel approach for early-stage FD in IIoT systems. DyEdgeGAT’s primary innovation lies in a novel graph inference scheme for multivariate time series that tracks the evolution of relationships between time series, enabled by dynamic edge construction. Another key innovation of DyEdgeGAT is its ability to incorporate OC contexts into node dynamics modeling, enhancing its accuracy and robustness. We rigorously evaluated DyEdgeGAT using both a synthetic data set, simulating varying levels of fault severity, and a real-world industrial-scale multiphase flow facility benchmark with diverse fault types under varying OCs and detection complexities. The results show that DyEdgeGAT significantly outperforms other baseline methods in FD, particularly in the early stages with low severity, and exhibits robust performance under novel OCs. The code and data associated with our research are publicly accessible via https://github.com/EPFL-IMOS/dyedgegat.</t>
  </si>
  <si>
    <t>The loosely-coupled microservices architecture has become increasingly popular due to the advantage of its modularity and elasticity in cloud applications. However, it also seriously complicates cloud management and degrades the performance of IT operations. Today, AI has been the locus of commerce and transactions, and transforming traditional IT operations for speed and growth. Inferring the dependencies among an application's microservices can greatly help SREs diagnose possible root causes of performance issues, which is a hard task due to the complex topology of microservices is often unknown in practice. Prior literature on detecting causal structure for cloud services requires significant application instrumentation, which rarely holds in reality. In this work, we leverage Granger causality models on just monitored log data of a microservice-based application to infer the impact of dependencies between microservices. We first describe the approach of modeling discrete log data as time series, and then formally define the Granger causality problem using both linear and nonlinear autoregressive models. Finally, we conduct an extensive comparative study to show the performance of the state-of-the-art linear and nonlinear (i.e., neural) Granger causality methods on both synthetic data and real-world log data from a publicly available benchmark microservice system. Our preliminary results indicate that neural Granger causality models outperform traditional Granger causality methods on both linear and nonlinear time series data, while for large linear time series, linear Granger causal models are more efficient with high accuracy. Using the real-world log data, we also demonstrate our interesting findings on inferred dependency graph of microservices by linear and neural Granger causality models.</t>
  </si>
  <si>
    <t>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t>
  </si>
  <si>
    <t>Graphical models allow to describe the interplay among variables of a system through a compact representation, suitable when relations evolve over time. For example, in a biological setting, genes interact differently depending on external environmental or metabolic factors. To incorporate this dynamics a viable strategy is to estimate a sequence of temporally related graphs assuming similarity among samples in different time points. While adjacent time points may direct the analysis towards a robust estimate of the underlying graph, the resulting model will not incorporate long-term or recurrent temporal relationships. In this work we propose a dynamical network inference model that leverages on kernels to consider general temporal patterns (such as circadian rhythms or seasonality). We show how our approach may also be exploited when the recurrent patterns are unknown, by coupling the network inference with a clustering procedure that detects possibly non-consecutive similar networks. Such clusters are then used to build similarity kernels. The convexity of the functional is determined by whether we impose or infer the kernel. In the first case, the optimisation algorithm exploits efficiently proximity operators with closed-form solutions. In the other case, we resort to an alternating minimisation procedure which jointly learns the temporal kernel and the underlying network. Extensive analysis on synthetic data shows the efficacy of our models compared to state-of-the-art methods. Finally, we applied our approach on two realworld applications to show how considering long-term patterns is fundamental to have insights on the behaviour of a complex system.</t>
  </si>
  <si>
    <t>Estimating the unknown causal dependencies among graph-connected time series plays an important role in many applications, such as sensor network analysis, signal processing over cyber-physical systems, and finance engineering. Inference of such causal dependencies, often know as topology identification, is not well studied for non-linear non-stationary systems, and most of the existing methods are batch-based which are not capable of handling streaming sensor signals. In this paper, we propose an online kernel-based algorithm for topology estimation of non-linear vector autoregressive time series by solving a sparse online optimization framework using the composite objective mirror descent method. Experiments conducted on real and synthetic data sets show that the proposed algorithm outperforms the state-of-the-art methods for topology estimation.</t>
  </si>
  <si>
    <t>Optical imaging of calcium signals in the brain has enabled researchers to observe the activity of hundreds-to-thousands of individual neurons simultaneously. Current methods predominantly use morphological information, typically focusing on expected shapes of cell bodies, to better identify neurons in the field-of-view. The explicit shape constraints limit the applicability of automated cell identification to other important imaging scales with more complex morphologies, e.g., dendritic or widefield imaging. Specifically, fluorescing components may be broken up, incompletely found, or merged in ways that do not accurately describe the underlying neural activity. Here we present Graph Filtered Temporal Dictionary (GraFT), a new approach that frames the problem of isolating independent fluorescing components as a dictionary learning problem. Specifically, we focus on the time-traces—the main quantity used in scientific discovery—and learn a time trace dictionary with the spatial maps acting as the presence coefficients encoding which pixels the time-traces are active in. Furthermore, we present a novel graph filtering model which redefines connectivity between pixels in terms of their shared temporal activity, rather than spatial proximity. This model greatly eases the ability of our method to handle data with complex non-local spatial structure. We demonstrate important properties of our method, such as robustness to morphology, simultaneously detecting different neuronal types, and implicitly inferring number of neurons, on both synthetic data and real data examples. Specifically, we demonstrate applications of our method to calcium imaging both at the dendritic, somatic, and widefield scales.</t>
  </si>
  <si>
    <t>Nosocomial infections are a great source of concern for healthcare organizations. The spatial layout of hospitals and the movements of patients play significant roles in the spread of outbreaks. However, the existing models are ad-hoc for a specific hospital and research topic. This work shows the design of a data model to study the spread of infections among hospital patients. Its spatial dimension describes the hospital layout with several levels of detail, and the temporal dimension describes everything that happens to the patients in the form of events, which can relate to the spatial dimension. The model is meant to be sufficiently general to fit any hospital layout and to be used for different epidemiological research topics. We proved the model's suitability by defining six queries based on patients' movements and contacts that could assist in several epidemiological research tasks, such as discovering potential transmission routes. The model was implemented as an RDF* knowledge graph, and the queries were in SPARQL*. Finally, we designed two experiments in which two outbreaks of Clostridium difficile were analyzed using several queries (four in the first experiment and two in the second) on a knowledge graph (105,000 nodes, 185,000 edges) with synthetic data.</t>
  </si>
  <si>
    <t>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t>
  </si>
  <si>
    <t>https://ieeexplore.ieee.org/stamp/stamp.jsp?arnumber=9306233</t>
  </si>
  <si>
    <t>https://ieeexplore.ieee.org/stamp/stamp.jsp?arnumber=10386978</t>
  </si>
  <si>
    <t>https://ieeexplore.ieee.org/stamp/stamp.jsp?arnumber=9889747</t>
  </si>
  <si>
    <t>https://ieeexplore.ieee.org/stamp/stamp.jsp?arnumber=9909661</t>
  </si>
  <si>
    <t>https://ieeexplore.ieee.org/stamp/stamp.jsp?arnumber=9578986</t>
  </si>
  <si>
    <t>https://ieeexplore.ieee.org/stamp/stamp.jsp?arnumber=9070171</t>
  </si>
  <si>
    <t>https://ieeexplore.ieee.org/stamp/stamp.jsp?arnumber=10423755</t>
  </si>
  <si>
    <t>https://ieeexplore.ieee.org/stamp/stamp.jsp?arnumber=10478787</t>
  </si>
  <si>
    <t>https://ieeexplore.ieee.org/stamp/stamp.jsp?arnumber=9101764</t>
  </si>
  <si>
    <t>https://ieeexplore.ieee.org/stamp/stamp.jsp?arnumber=9582247</t>
  </si>
  <si>
    <t>https://ieeexplore.ieee.org/stamp/stamp.jsp?arnumber=10635109</t>
  </si>
  <si>
    <t>https://ieeexplore.ieee.org/stamp/stamp.jsp?arnumber=9413203</t>
  </si>
  <si>
    <t>https://ieeexplore.ieee.org/stamp/stamp.jsp?arnumber=9596512</t>
  </si>
  <si>
    <t>https://ieeexplore.ieee.org/stamp/stamp.jsp?arnumber=9523399</t>
  </si>
  <si>
    <t>https://ieeexplore.ieee.org/stamp/stamp.jsp?arnumber=10141675</t>
  </si>
  <si>
    <t>https://ieeexplore.ieee.org/stamp/stamp.jsp?arnumber=10531218</t>
  </si>
  <si>
    <t>https://ieeexplore.ieee.org/stamp/stamp.jsp?arnumber=9672718</t>
  </si>
  <si>
    <t>https://ieeexplore.ieee.org/stamp/stamp.jsp?arnumber=9138462</t>
  </si>
  <si>
    <t>https://ieeexplore.ieee.org/stamp/stamp.jsp?arnumber=9771089</t>
  </si>
  <si>
    <t>https://ieeexplore.ieee.org/stamp/stamp.jsp?arnumber=9178953</t>
  </si>
  <si>
    <t>https://ieeexplore.ieee.org/stamp/stamp.jsp?arnumber=10422645</t>
  </si>
  <si>
    <t>https://ieeexplore.ieee.org/stamp/stamp.jsp?arnumber=9216610</t>
  </si>
  <si>
    <t>https://ieeexplore.ieee.org/stamp/stamp.jsp?arnumber=10214355</t>
  </si>
  <si>
    <t>https://ieeexplore.ieee.org/stamp/stamp.jsp?arnumber=9201541</t>
  </si>
  <si>
    <t>https://ieeexplore.ieee.org/stamp/stamp.jsp?arnumber=9382789</t>
  </si>
  <si>
    <t>https://ieeexplore.ieee.org/stamp/stamp.jsp?arnumber=8967169</t>
  </si>
  <si>
    <t>https://ieeexplore.ieee.org/stamp/stamp.jsp?arnumber=10568325</t>
  </si>
  <si>
    <t>https://ieeexplore.ieee.org/stamp/stamp.jsp?arnumber=10582020</t>
  </si>
  <si>
    <t>Graph learning;network topology inference;multiresolution graph;time-varying graph.</t>
  </si>
  <si>
    <t>relational time-series causal inference;causal effect estimation;graph neighborhood pooling</t>
  </si>
  <si>
    <t>All-pairs-shortest-path (APSP);F-test;graph theory;hypothesis test;SAR interferometry (InSAR);tropospheric noise removal</t>
  </si>
  <si>
    <t>Contrastive learning;representation learning;time series;dynamic graphs</t>
  </si>
  <si>
    <t>Graph inference;graph learning;time-varying graph;temporal multiresolution graph</t>
  </si>
  <si>
    <t>Coherence;coregistration;Sentinel-1;synthetic aperture radar (SAR);terrain observation by progressive scan (TOPS)</t>
  </si>
  <si>
    <t>Interseries dependencies;time-series forecasting;transformer</t>
  </si>
  <si>
    <t>Graph learning;graph neural networks (GNNs);multivariate time series (MTSs);unsupervised fault detection (FD)</t>
  </si>
  <si>
    <t>Microservice based application;Granger Causality Models;Causal Graph</t>
  </si>
  <si>
    <t>Nonlinear topology identification;Causality;Directed graphs;Kernels;Random feature approximation</t>
  </si>
  <si>
    <t>Non-linear topology identification;Causality;Graph connected time series;Kernels</t>
  </si>
  <si>
    <t>Online graph learning;nonlinear topology identification;regret analysis;random Fourier features</t>
  </si>
  <si>
    <t>Partial correlation graph;multi-frequency;block-sparsity;nonconvex optimization</t>
  </si>
  <si>
    <t>Graphical models;structural changes;variational inference;simulated annealing;inverse spectral density matrices</t>
  </si>
  <si>
    <t>Graph representation;recurrent neural network (RNN);stochastic processes;temporal point processes (TPPs)</t>
  </si>
  <si>
    <t>Dictionary learning;sparse coding;calcium imaging;two-photon microscopy;re-weighted ℓ1</t>
  </si>
  <si>
    <t>Hawkes processes;temporal point processes;clustering</t>
  </si>
  <si>
    <t>Asynchronous Boolean networks (BNs);cooperative coevolution (CC);gene regulatory networks (GRNs);genetic programming (GP);single-cell data</t>
  </si>
  <si>
    <t>Graph signal processing;laplacian matrix;multivariate time series forecasting;ARCH;GARCH;multivariate GARCH;EGARCH;GJR-GARCH;O-GARCH</t>
  </si>
  <si>
    <t>EEG/MEG source imaging;source localization;inverse problem;graph structure learning</t>
  </si>
  <si>
    <t>Core number maintenance;dense subgraph;dynamic graph;graph analytics</t>
  </si>
  <si>
    <t>Temporal graph;pattern matching;graph mining;algorithm</t>
  </si>
  <si>
    <t>Spatial modelling;Temporal modelling;Data model;Epidemiology;Knowledge graph</t>
  </si>
  <si>
    <t>Link</t>
  </si>
  <si>
    <t>Temporal Graph Generative Models: An empirical study</t>
  </si>
  <si>
    <t>NetDiffus: Network traffic generation by diffusion models through time-series imaging</t>
  </si>
  <si>
    <t>Synthetic data for reef modelling</t>
  </si>
  <si>
    <t>21st International Conference on Modeling Decisions for Artificial Intelligence, MDAI 2024</t>
  </si>
  <si>
    <t>Object embedding using an information geometrical perspective</t>
  </si>
  <si>
    <t>Synthetic data as a contribution and a reward in multi-agent urban traffic forecasting</t>
  </si>
  <si>
    <t>Deep Isolation Forest for Anomaly Detection</t>
  </si>
  <si>
    <t>BrainSTEAM: A practical pipeline for connectome-based fmri analysis towards subject classification</t>
  </si>
  <si>
    <t>Causal Recurrent Variational Autoencoder for Medical Time Series Generation</t>
  </si>
  <si>
    <t>Proceedings of the 6th ACM SIGMOD Joint International Workshop on Graph Data Management Experiences and Systems (GRADES) and Network Data Analytics (NDA) 2023, GRADES-NDA 2023</t>
  </si>
  <si>
    <t>AMAG: Additive, Multiplicative and Adaptive Graph Neural Network For Forecasting Neural Activity</t>
  </si>
  <si>
    <t>Proceedings - 22nd IEEE International Conference on Machine Learning and Applications, ICMLA 2023</t>
  </si>
  <si>
    <t>1st International Workshop on Hybrid Artificial Intelligence and Enterprise Modelling for Intelligent Information Systems, HybridAIMS, 1st Workshop on Knowledge Graphs for Semantics-Driven Systems Engineering, KG4SDSE, Blockchain and Decentralized Governance Design for Information Systems, BC4IS and DGD, associated with the 35th International Conference on Advanced Information Systems Engineering, CAiSE 2023</t>
  </si>
  <si>
    <t>Bootstrapping Network Autoregressive Models for Testing Linearity</t>
  </si>
  <si>
    <t>From Temporal to Contemporaneous Iterative Causal Discovery in the Presence of Latent Confounders</t>
  </si>
  <si>
    <t>Multivariate Time Series Forecasting with GARCH Models on Graphs</t>
  </si>
  <si>
    <t>Security and Privacy in Social Networks and Big Data - 9th International Symposium, SocialSec 2023, Proceedings</t>
  </si>
  <si>
    <t>Automatically Discovering Conceptual Neighborhoods Using Machine Learning Methods</t>
  </si>
  <si>
    <t>Anomaly Detection for Spatiotemporal Data in Action</t>
  </si>
  <si>
    <t>Deep Learning for Network Traffic Data</t>
  </si>
  <si>
    <t>Spatiotemporal Scene-Graph Embedding for Autonomous Vehicle Collision Prediction</t>
  </si>
  <si>
    <t>26th International Database Engineered Applications Symposium, IDEAS 2022</t>
  </si>
  <si>
    <t>Modeling Plots of Narrative Texts as Temporal Graphs</t>
  </si>
  <si>
    <t>25th International Conference on Discovery Science, DS 2022</t>
  </si>
  <si>
    <t>Spatiotemporal multi-graph convolutional networks with synthetic data for traffic volume forecasting</t>
  </si>
  <si>
    <t>6th International Workshop on Cyber-Security and Functional Safety in Cyber-Physical Systems, IWCFS 2022, 4th International Workshop on Machine Learning and Knowledge Graphs, MLKgraphs 2022, 2nd International Workshop on Time Ordered Data, ProTime2022, 2nd International Workshop on AI System Engineering: Math, Modelling and Software, AISys2022, 1st International Workshop on Distributed Ledgers and Related Technologies, DLRT2022 and 1st International Workshop on Applied Research, Technology Transfer and Knowledge Exchange in Software and Data Science, ARTE2022 held at 33rd International Conference on Database and Expert Systems Applications, DEXA 2022</t>
  </si>
  <si>
    <t>Spatio-temporal dual affine differential invariants for skeleton-based action recognition; [时空双仿射微分不变量及骨架动作识别]</t>
  </si>
  <si>
    <t>Ride-Hailing Order Matching and Vehicle Repositioning Based on Vehicle Value Function</t>
  </si>
  <si>
    <t>Online non-linear topology identification from graph-connected time series</t>
  </si>
  <si>
    <t>DynSTGAT: Dynamic Spatialoral Graph Attention Network for Traffic Signal Control</t>
  </si>
  <si>
    <t>21st European Conference on Machine Learning and Principles and Practice of Knowledge Discovery in Databases, ECML PKDD 2021</t>
  </si>
  <si>
    <t>Recovering Quantitative Models of Human Information Processing with Differentiable Architecture Search</t>
  </si>
  <si>
    <t>Probabilistic Structure Learning for EEG/MEG Source Imaging with Hierarchical Graph Priors</t>
  </si>
  <si>
    <t>High-resolution pv forecasting from imperfect data: A graph-based solution</t>
  </si>
  <si>
    <t xml:space="preserve"> 25th European Conference on Advances in Databases and Information Systems, ADBIS 2021 co-allocated with Workshops on DOING, SIMPDA, MADEISD, MegaData, CAoNS 2021</t>
  </si>
  <si>
    <t>Online Topology Identification from Vector Autoregressive Time Series</t>
  </si>
  <si>
    <t>Evaluating Temporal Queries over Video Feeds</t>
  </si>
  <si>
    <t>Shortest path queries for indoor venues with temporal variations</t>
  </si>
  <si>
    <t>14th International Conference on Soft Computing Models in Industrial and Environmental Applications, SOCO 2019</t>
  </si>
  <si>
    <t>21th International Conference on Intelligent Data Engineering and Automated Learning, IDEAL 2020</t>
  </si>
  <si>
    <t>Simultaneous Process Drift Detection and Characterization with Pattern-Based Change Detectors</t>
  </si>
  <si>
    <t>Representative image selection for data efficient word spotting</t>
  </si>
  <si>
    <t>Temporal pattern detection in time-varying graphical models</t>
  </si>
  <si>
    <t>Clustering event streams with low rank hawkes processes</t>
  </si>
  <si>
    <t>PHYSICS-AWARE DIFFERENCE GRAPH NETWORKS FOR SPARSELY-OBSERVED DYNAMICS</t>
  </si>
  <si>
    <t>https://www.scopus.com/inward/record.uri?eid=2-s2.0-85193210529&amp;doi=10.1371%2fjournal.pone.0298651&amp;partnerID=40&amp;md5=dbec9a72002701c3f82cb707eebd34f6</t>
  </si>
  <si>
    <t>https://www.scopus.com/inward/record.uri?eid=2-s2.0-85189141870&amp;doi=10.1109%2fJIOT.2024.3381002&amp;partnerID=40&amp;md5=e4b5e3b060fd461ad3915d869ed65fa7</t>
  </si>
  <si>
    <t>https://www.scopus.com/inward/record.uri?eid=2-s2.0-85192299155&amp;doi=10.1103%2fPhysRevE.109.054306&amp;partnerID=40&amp;md5=41882191196501287e013990234b863f</t>
  </si>
  <si>
    <t>https://www.scopus.com/inward/record.uri?eid=2-s2.0-85184810053&amp;doi=10.1109%2fJIOT.2024.3363451&amp;partnerID=40&amp;md5=656f71eeadbf84359196f781f5a8acc9</t>
  </si>
  <si>
    <t>https://www.scopus.com/inward/record.uri?eid=2-s2.0-85192269757&amp;doi=10.1145%2f3642970.3655829&amp;partnerID=40&amp;md5=07704366bb1e3711dd278e1e91f04134</t>
  </si>
  <si>
    <t>https://www.scopus.com/inward/record.uri?eid=2-s2.0-85196889697&amp;doi=10.1186%2fs12874-024-02257-8&amp;partnerID=40&amp;md5=6cd1b8926639d98f6081fbd329bcb291</t>
  </si>
  <si>
    <t>https://www.scopus.com/inward/record.uri?eid=2-s2.0-85198017979&amp;doi=10.1016%2fj.comnet.2024.110616&amp;partnerID=40&amp;md5=5dfc5f2513e2f90a3ff7484f52df0489</t>
  </si>
  <si>
    <t>https://www.scopus.com/inward/record.uri?eid=2-s2.0-85196760966&amp;doi=10.1016%2fj.ecoinf.2024.102698&amp;partnerID=40&amp;md5=205045817ec263c753b6b60b47c55f3e</t>
  </si>
  <si>
    <t>https://www.scopus.com/inward/record.uri?eid=2-s2.0-85193478577&amp;doi=10.1109%2fTSP.2024.3401072&amp;partnerID=40&amp;md5=d4f8f756e0ae725f4f18f7076088648d</t>
  </si>
  <si>
    <t>https://www.scopus.com/inward/record.uri?eid=2-s2.0-85196757071&amp;doi=10.1109%2fJBHI.2024.3417224&amp;partnerID=40&amp;md5=476fd935ce758194816007b287cc0c23</t>
  </si>
  <si>
    <t>https://www.scopus.com/inward/record.uri?eid=2-s2.0-85202182663&amp;partnerID=40&amp;md5=19d2cacab2609d8bed586fa4c54d42ef</t>
  </si>
  <si>
    <t>https://www.scopus.com/inward/record.uri?eid=2-s2.0-85201571626&amp;doi=10.1049%2fitr2.12554&amp;partnerID=40&amp;md5=9b0b86f0bd18daffe7764e0d4bc7dc0a</t>
  </si>
  <si>
    <t>https://www.scopus.com/inward/record.uri?eid=2-s2.0-85199458916&amp;doi=10.1109%2fFG59268.2024.10582020&amp;partnerID=40&amp;md5=d7f54bbaeccc601f752869014af40960</t>
  </si>
  <si>
    <t>https://www.scopus.com/inward/record.uri?eid=2-s2.0-85203370022&amp;doi=10.1109%2fISBI56570.2024.10635109&amp;partnerID=40&amp;md5=ff739843c46d2ba432d2433517f3834b</t>
  </si>
  <si>
    <t>https://www.scopus.com/inward/record.uri?eid=2-s2.0-85165999523&amp;doi=10.1007%2fs41884-023-00114-z&amp;partnerID=40&amp;md5=5047078f356948639b682de970a32450</t>
  </si>
  <si>
    <t>https://www.scopus.com/inward/record.uri?eid=2-s2.0-85187575402&amp;doi=10.1016%2fj.trpro.2024.02.017&amp;partnerID=40&amp;md5=06a26ce56c67b479375e07d254ecb234</t>
  </si>
  <si>
    <t>https://www.scopus.com/inward/record.uri?eid=2-s2.0-85168557613&amp;doi=10.1093%2fgji%2fggad301&amp;partnerID=40&amp;md5=2b4411c9254bea5acf86fd1c616bac05</t>
  </si>
  <si>
    <t>https://www.scopus.com/inward/record.uri?eid=2-s2.0-85159690372&amp;doi=10.1109%2fTKDE.2023.3270293&amp;partnerID=40&amp;md5=70471270165f37acc06aa4d4e4f493ce</t>
  </si>
  <si>
    <t>https://www.scopus.com/inward/record.uri?eid=2-s2.0-85192201252&amp;doi=10.1109%2fTSP.2024.3394660&amp;partnerID=40&amp;md5=37c0ef08fee4d40ceba7ab63a5578168</t>
  </si>
  <si>
    <t>https://www.scopus.com/inward/record.uri?eid=2-s2.0-85181776251&amp;doi=10.1142%2f9789811286421_0005&amp;partnerID=40&amp;md5=47d6ecbce59016e0f343aa527fddc3fb</t>
  </si>
  <si>
    <t>https://www.scopus.com/inward/record.uri?eid=2-s2.0-85163766243&amp;doi=10.1145%2f3594778.3594881&amp;partnerID=40&amp;md5=249a6b3ac947cef69ffa0431858d4697</t>
  </si>
  <si>
    <t>https://www.scopus.com/inward/record.uri?eid=2-s2.0-85162172623&amp;doi=10.1016%2fj.jbi.2023.104422&amp;partnerID=40&amp;md5=be15bfb6b4fa1b72806afd1be5ecc872</t>
  </si>
  <si>
    <t>https://www.scopus.com/inward/record.uri?eid=2-s2.0-85153867690&amp;doi=10.1016%2fj.eswa.2023.120149&amp;partnerID=40&amp;md5=05b3ca654f4e587d6fb4f9c1d71bf6f8</t>
  </si>
  <si>
    <t>https://www.scopus.com/inward/record.uri?eid=2-s2.0-85168239476&amp;partnerID=40&amp;md5=1039fe1a90a58c46c1a3e45117d75f8b</t>
  </si>
  <si>
    <t>https://www.scopus.com/inward/record.uri?eid=2-s2.0-85163746934&amp;partnerID=40&amp;md5=3da6beb31ca88598f1717f0bc1456bf7</t>
  </si>
  <si>
    <t>https://www.scopus.com/inward/record.uri?eid=2-s2.0-85186508977&amp;doi=10.1109%2fITSC57777.2023.10422645&amp;partnerID=40&amp;md5=ac2b33a17222fff973ffd5501e69360d</t>
  </si>
  <si>
    <t>https://www.scopus.com/inward/record.uri?eid=2-s2.0-85191196013&amp;partnerID=40&amp;md5=c30ef65e33c94b60d26d4abf23149a87</t>
  </si>
  <si>
    <t>https://www.scopus.com/inward/record.uri?eid=2-s2.0-85180782110&amp;doi=10.1109%2fICKII58656.2023.10332555&amp;partnerID=40&amp;md5=5a3aeb9d781881a47e91158f9729dbc4</t>
  </si>
  <si>
    <t>https://www.scopus.com/inward/record.uri?eid=2-s2.0-85190089085&amp;partnerID=40&amp;md5=b30cb66797812124e07085c23f6e3e18</t>
  </si>
  <si>
    <t>https://www.scopus.com/inward/record.uri?eid=2-s2.0-85152180170&amp;doi=10.1109%2fTNNLS.2020.3004626&amp;partnerID=40&amp;md5=4039b244639f6053ed4f590915e59927</t>
  </si>
  <si>
    <t>https://www.scopus.com/inward/record.uri?eid=2-s2.0-85184983580&amp;doi=10.1109%2fBigData59044.2023.10386978&amp;partnerID=40&amp;md5=6a13daa06103b3d84a810934e9dbd641</t>
  </si>
  <si>
    <t>https://www.scopus.com/inward/record.uri?eid=2-s2.0-85165890259&amp;doi=10.1093%2fgigascience%2fgiad060&amp;partnerID=40&amp;md5=011ba150b2d7781e71a560ab0a645f7b</t>
  </si>
  <si>
    <t>https://www.scopus.com/inward/record.uri?eid=2-s2.0-85164312933&amp;partnerID=40&amp;md5=8ac54832e00e59c02f589200ba600916</t>
  </si>
  <si>
    <t>https://www.scopus.com/inward/record.uri?eid=2-s2.0-85149945774&amp;doi=10.1007%2f978-3-031-24453-7_6&amp;partnerID=40&amp;md5=d7ebaae49336a0f7716cf4fa585441fa</t>
  </si>
  <si>
    <t>https://www.scopus.com/inward/record.uri?eid=2-s2.0-85168102843&amp;doi=10.1093%2fgigascience%2fgiad060&amp;partnerID=40&amp;md5=9838691cd43bd6b9ce145bc9d4890e9b</t>
  </si>
  <si>
    <t>https://www.scopus.com/inward/record.uri?eid=2-s2.0-85122897782&amp;doi=10.1109%2fTPAMI.2022.3140886&amp;partnerID=40&amp;md5=7ca67c2e406c5a81d163d93e30ee830c</t>
  </si>
  <si>
    <t>https://www.scopus.com/inward/record.uri?eid=2-s2.0-85174408081&amp;partnerID=40&amp;md5=d18010de4f63cd678b1830adefdda6db</t>
  </si>
  <si>
    <t>https://www.scopus.com/inward/record.uri?eid=2-s2.0-85168673090&amp;doi=10.1109%2fEEEIC%2fICPSEurope57605.2023.10194882&amp;partnerID=40&amp;md5=e4b3382db8023b6efb5122e5efba8437</t>
  </si>
  <si>
    <t>https://www.scopus.com/inward/record.uri?eid=2-s2.0-85167786266&amp;doi=10.1109%2fTSIPN.2023.3304142&amp;partnerID=40&amp;md5=8dec770b6021e54b8ce6da59f8bd4bb7</t>
  </si>
  <si>
    <t>https://www.scopus.com/inward/record.uri?eid=2-s2.0-85161575469&amp;doi=10.1109%2fTSP.2023.3282068&amp;partnerID=40&amp;md5=658d218cc149cab093a04030d17870eb</t>
  </si>
  <si>
    <t>https://www.scopus.com/inward/record.uri?eid=2-s2.0-85172197274&amp;partnerID=40&amp;md5=291c447fc8053ce29dceefba228241c5</t>
  </si>
  <si>
    <t>https://www.scopus.com/inward/record.uri?eid=2-s2.0-85137729416&amp;doi=10.4230%2fLIPIcs.COSIT.2022.3&amp;partnerID=40&amp;md5=f3332441b46dae5ceb50e00ee76f54d0</t>
  </si>
  <si>
    <t>https://www.scopus.com/inward/record.uri?eid=2-s2.0-85137144507&amp;doi=10.1145%2f3534678.3542626&amp;partnerID=40&amp;md5=faa576fc31a2f47e1b4bc3b4063faea0</t>
  </si>
  <si>
    <t>https://www.scopus.com/inward/record.uri?eid=2-s2.0-85137143532&amp;doi=10.1145%2f3534678.3542618&amp;partnerID=40&amp;md5=47a28c4026dece976e538b10cbd8e894</t>
  </si>
  <si>
    <t>https://www.scopus.com/inward/record.uri?eid=2-s2.0-85122887123&amp;doi=10.1109%2fJIOT.2022.3141044&amp;partnerID=40&amp;md5=3d4ae92fc8a346228e41d91c91dfca85</t>
  </si>
  <si>
    <t>https://www.scopus.com/inward/record.uri?eid=2-s2.0-85125688642&amp;doi=10.1038%2fs41598-022-07249-6&amp;partnerID=40&amp;md5=a696a1290b535d361566fdc0f227e3ae</t>
  </si>
  <si>
    <t>https://www.scopus.com/inward/record.uri?eid=2-s2.0-85141242822&amp;doi=10.1016%2fj.chaos.2022.112802&amp;partnerID=40&amp;md5=48344dce2750a3e3d5c38c3a332cb1af</t>
  </si>
  <si>
    <t>https://www.scopus.com/inward/record.uri?eid=2-s2.0-85144272001&amp;doi=10.1088%2f1742-5468%2faca0e5&amp;partnerID=40&amp;md5=b50f8064431e4a1f770ae31234ab6b4a</t>
  </si>
  <si>
    <t>https://www.scopus.com/inward/record.uri?eid=2-s2.0-85139079516&amp;partnerID=40&amp;md5=0a3c2394372c2d36a819e6356b0c25a2</t>
  </si>
  <si>
    <t>https://www.scopus.com/inward/record.uri?eid=2-s2.0-85134824590&amp;doi=10.1016%2fj.jprocont.2022.06.014&amp;partnerID=40&amp;md5=7af6f99e2df72e070cba01483010e6ef</t>
  </si>
  <si>
    <t>https://www.scopus.com/inward/record.uri?eid=2-s2.0-85103299539&amp;doi=10.1109%2fTCSS.2021.3064836&amp;partnerID=40&amp;md5=d7edfd20e0dac0d280807086dc8e5158</t>
  </si>
  <si>
    <t>https://www.scopus.com/inward/record.uri?eid=2-s2.0-85164535532&amp;partnerID=40&amp;md5=9ae42f0c78ced2774550c0bce70c8f09</t>
  </si>
  <si>
    <t>https://www.scopus.com/inward/record.uri?eid=2-s2.0-85143847926&amp;partnerID=40&amp;md5=784fedde6be9647550568a985b73eadc</t>
  </si>
  <si>
    <t>https://www.scopus.com/inward/record.uri?eid=2-s2.0-85130767891&amp;doi=10.1109%2fTCYB.2020.3022430&amp;partnerID=40&amp;md5=cf6eb5a569d6ca88b25e6ed27e5457a1</t>
  </si>
  <si>
    <t>https://www.scopus.com/inward/record.uri?eid=2-s2.0-85142752080&amp;partnerID=40&amp;md5=fda5f7b5938c5b81a41c7e9e4459b29c</t>
  </si>
  <si>
    <t>https://www.scopus.com/inward/record.uri?eid=2-s2.0-85116550316&amp;doi=10.1016%2fj.eswa.2021.115992&amp;partnerID=40&amp;md5=5e77932381ec99e320c8db310f984a88</t>
  </si>
  <si>
    <t>https://www.scopus.com/inward/record.uri?eid=2-s2.0-85141011780&amp;partnerID=40&amp;md5=00223374d0b6a11e087842a4f4e55c60</t>
  </si>
  <si>
    <t>https://www.scopus.com/inward/record.uri?eid=2-s2.0-85136913737&amp;partnerID=40&amp;md5=474fa9d7746e948ec64070e6a1a0faf3</t>
  </si>
  <si>
    <t>https://www.scopus.com/inward/record.uri?eid=2-s2.0-85130765969&amp;doi=10.1109%2fTIP.2022.3171414&amp;partnerID=40&amp;md5=2a4cad39c272a6455cfd9ab7549f21a3</t>
  </si>
  <si>
    <t>https://www.scopus.com/inward/record.uri?eid=2-s2.0-85121313890&amp;doi=10.11834%2fjig.200453&amp;partnerID=40&amp;md5=0b443a59ce5ed7f28eabb119488c91a4</t>
  </si>
  <si>
    <t>https://www.scopus.com/inward/record.uri?eid=2-s2.0-85137621457&amp;doi=10.7717%2fPEERJ-CS.1066&amp;partnerID=40&amp;md5=79e74ab635c34d79785cd603953e2ae0</t>
  </si>
  <si>
    <t>https://www.scopus.com/inward/record.uri?eid=2-s2.0-85130785478&amp;doi=10.1109%2fACCESS.2022.3177906&amp;partnerID=40&amp;md5=bf43939b9bba90f0774c5114dc435a3b</t>
  </si>
  <si>
    <t>https://www.scopus.com/inward/record.uri?eid=2-s2.0-85139455389&amp;doi=10.1109%2fTGRS.2022.3206540&amp;partnerID=40&amp;md5=ac4b754d4ca8aedf76e9154f9f60abb6</t>
  </si>
  <si>
    <t>https://www.scopus.com/inward/record.uri?eid=2-s2.0-85135019919&amp;doi=10.1007%2f978-3-031-10986-7_33&amp;partnerID=40&amp;md5=4c47ddab7854bc94e90021256a4286e2</t>
  </si>
  <si>
    <t>https://www.scopus.com/inward/record.uri?eid=2-s2.0-85115350691&amp;doi=10.1109%2fDSLW51110.2021.9523399&amp;partnerID=40&amp;md5=87d133dae1bf823b7850071471118542</t>
  </si>
  <si>
    <t>https://www.scopus.com/inward/record.uri?eid=2-s2.0-85119207614&amp;doi=10.1145%2f3459637.3482254&amp;partnerID=40&amp;md5=d31915c45e5ab57e23b43833d6cf25a5</t>
  </si>
  <si>
    <t>https://www.scopus.com/inward/record.uri?eid=2-s2.0-85114963054&amp;doi=10.1109%2fTKDE.2020.2968901&amp;partnerID=40&amp;md5=b43e1fedf32fddefb05b3a627a3b1561</t>
  </si>
  <si>
    <t>https://www.scopus.com/inward/record.uri?eid=2-s2.0-85119346786&amp;doi=10.1109%2fCLOUD53861.2021.00072&amp;partnerID=40&amp;md5=dcbb61a20bd898ba472b2274d9737d03</t>
  </si>
  <si>
    <t>https://www.scopus.com/inward/record.uri?eid=2-s2.0-85126267642&amp;partnerID=40&amp;md5=ed24d4f52accf22bee0876ff40d85629</t>
  </si>
  <si>
    <t>https://www.scopus.com/inward/record.uri?eid=2-s2.0-85122788330&amp;doi=10.1109%2fMLSP52302.2021.9596512&amp;partnerID=40&amp;md5=668b366c049d22e283c67f5bbac83705</t>
  </si>
  <si>
    <t>https://www.scopus.com/inward/record.uri?eid=2-s2.0-85126234786&amp;partnerID=40&amp;md5=c9ecf8275488f3703cd27e9e908bd867</t>
  </si>
  <si>
    <t>https://www.scopus.com/inward/record.uri?eid=2-s2.0-85139389906&amp;partnerID=40&amp;md5=df315f20e852f72639ad3bdaaebb48b5</t>
  </si>
  <si>
    <t>https://www.scopus.com/inward/record.uri?eid=2-s2.0-85118237703&amp;doi=10.1109%2fACCESS.2021.3120994&amp;partnerID=40&amp;md5=5ec382348e7c2cab9a71550bb7cd6363</t>
  </si>
  <si>
    <t>https://www.scopus.com/inward/record.uri?eid=2-s2.0-85125201596&amp;doi=10.1109%2fICDM51629.2021.00016&amp;partnerID=40&amp;md5=e5185cdcc69c98ab68f3c6566fa89e46</t>
  </si>
  <si>
    <t>https://www.scopus.com/inward/record.uri?eid=2-s2.0-85098870901&amp;doi=10.1109%2fTMI.2020.3025608&amp;partnerID=40&amp;md5=ed7990870d68f236cf75303cca41958e</t>
  </si>
  <si>
    <t>https://www.scopus.com/inward/record.uri?eid=2-s2.0-85100944903&amp;partnerID=40&amp;md5=024f7ca5aa8e6634e21ae85153bc41a4</t>
  </si>
  <si>
    <t>https://www.scopus.com/inward/record.uri?eid=2-s2.0-85106508203&amp;doi=10.3390%2fen13215763&amp;partnerID=40&amp;md5=7c83c2b9817df30280822d12aec407d7</t>
  </si>
  <si>
    <t>https://www.scopus.com/inward/record.uri?eid=2-s2.0-85115187550&amp;partnerID=40&amp;md5=082c3258d3e16291f73b0f7d9f03e5a8</t>
  </si>
  <si>
    <t>https://www.scopus.com/inward/record.uri?eid=2-s2.0-85090961952&amp;doi=10.1016%2fj.isprsjprs.2020.08.023&amp;partnerID=40&amp;md5=3f2736ad094cb1e5b560a597df78fa90</t>
  </si>
  <si>
    <t>https://www.scopus.com/inward/record.uri?eid=2-s2.0-85097934926&amp;doi=10.1109%2fTSP.2020.3042940&amp;partnerID=40&amp;md5=374347d32e9c9fadf4569259df0a4434</t>
  </si>
  <si>
    <t>https://www.scopus.com/inward/record.uri?eid=2-s2.0-85108957937&amp;doi=10.1145%2f3448016.3452803&amp;partnerID=40&amp;md5=6779441d5d5bb7afb43f4e4a461e411f</t>
  </si>
  <si>
    <t>https://www.scopus.com/inward/record.uri?eid=2-s2.0-85085863697&amp;doi=10.1109%2fICDE48307.2020.00227&amp;partnerID=40&amp;md5=6419cd23f4926c4566af1bbedb1ebafa</t>
  </si>
  <si>
    <t>https://www.scopus.com/inward/record.uri?eid=2-s2.0-85065927414&amp;partnerID=40&amp;md5=d4cbd94adf9baae3289c903ffd791d36</t>
  </si>
  <si>
    <t>https://www.scopus.com/inward/record.uri?eid=2-s2.0-85097179626&amp;partnerID=40&amp;md5=4be6d2243d27202b5c5faac0d3a6d29d</t>
  </si>
  <si>
    <t>https://www.scopus.com/inward/record.uri?eid=2-s2.0-85076557052&amp;doi=10.1007%2fs00024-018-2070-z&amp;partnerID=40&amp;md5=01662e0fe5e25eb67b2bedb3d9ac94fe</t>
  </si>
  <si>
    <t>https://www.scopus.com/inward/record.uri?eid=2-s2.0-85094104822&amp;doi=10.1007%2f978-3-030-61527-7_30&amp;partnerID=40&amp;md5=a5c93fe59fea95fd00d0e95f3fd1a685</t>
  </si>
  <si>
    <t>https://www.scopus.com/inward/record.uri?eid=2-s2.0-85090096109&amp;doi=10.1007%2f978-3-030-57058-3_27&amp;partnerID=40&amp;md5=cd650e4a582418070f180aa4a43d0492</t>
  </si>
  <si>
    <t>https://www.scopus.com/inward/record.uri?eid=2-s2.0-85097392118&amp;partnerID=40&amp;md5=c2fb15bb31b54420562979e8c02b5b04</t>
  </si>
  <si>
    <t>https://www.scopus.com/inward/record.uri?eid=2-s2.0-85110461678&amp;doi=10.1109%2fICPR48806.2021.9413203&amp;partnerID=40&amp;md5=3a2b8813fdefb684e0e46000af020e6a</t>
  </si>
  <si>
    <t>https://www.scopus.com/inward/record.uri?eid=2-s2.0-85099075745&amp;doi=10.1109%2fLSP.2020.3019964&amp;partnerID=40&amp;md5=277e996dcd81f5996fed078e099de7fb</t>
  </si>
  <si>
    <t>https://www.scopus.com/inward/record.uri?eid=2-s2.0-85062780531&amp;doi=10.1007%2fs11280-019-00674-0&amp;partnerID=40&amp;md5=139dbf0bb144d5f81eee3473c66e4355</t>
  </si>
  <si>
    <t>https://www.scopus.com/inward/record.uri?eid=2-s2.0-85084505375&amp;doi=10.1109%2fJSTARS.2020.2985503&amp;partnerID=40&amp;md5=9f250f4a3189da6dc389fa5c8520bc5d</t>
  </si>
  <si>
    <t>https://www.scopus.com/inward/record.uri?eid=2-s2.0-85133218475&amp;partnerID=40&amp;md5=852226488046d81be410314985ee3212</t>
  </si>
  <si>
    <t>In the Industrial Internet of Things (IIoT), condition monitoring sensor signals from complex systems often exhibit nonlinear and stochastic spatial-temporal dynamics under varying conditions. These complex dynamics make fault detection (FD) particularly challenging. While previous methods effectively model these dynamics, they often neglect the evolution of relationships between sensor signals. Undetected shifts in these relationships can lead to significant system failures. Furthermore, these methods frequently misidentify novel operating conditions (OCs) as faults. Addressing these limitations, we propose dynamic edge via graph attention (DyEdgeGAT), a novel approach for early-stage FD in IIoT systems. DyEdgeGAT's primary innovation lies in a novel graph inference scheme for multivariate time series that tracks the evolution of relationships between time series, enabled by dynamic edge construction. Another key innovation of DyEdgeGAT is its ability to incorporate OC contexts into node dynamics modeling, enhancing its accuracy and robustness. We rigorously evaluated DyEdgeGAT using both a synthetic data set, simulating varying levels of fault severity, and a real-world industrial-scale multiphase flow facility benchmark with diverse fault types under varying OCs and detection complexities. The results show that DyEdgeGAT significantly outperforms other baseline methods in FD, particularly in the early stages with low severity, and exhibits robust performance under novel OCs. The code and data associated with our research are publicly accessible via https://github.com/EPFL-IMOS/dyedgegat.  © 2014 IEEE.</t>
  </si>
  <si>
    <t>A range of systems across the social and natural sciences generate data sets consisting of interactions between two distinct categories of items at various instances in time. Online shopping, for example, generates purchasing events of the form (user, product, time of purchase), and mutualistic interactions in plant-pollinator systems generate pollination events of the form (insect, plant, time of pollination). These data sets can be meaningfully modeled as temporal hypergraph snapshots in which multiple items within one category (i.e., online shoppers) share a hyperedge if they interacted with a common item in the other category (i.e., purchased the same product) within a given time window, allowing for the application of hypergraph analysis techniques. However, it is often unclear how to choose the number and duration of these temporal snapshots, which have a strong influence on the final hypergraph representations. Here we propose a principled nonparametric solution to this problem by extracting temporal hypergraph snapshots that optimally capture structural regularities in temporal event data according to the minimum description length principle. We demonstrate our methods on real and synthetic data sets, finding that they can recover planted artificial hypergraph structure in the presence of considerable noise and reveal meaningful activity fluctuations in human mobility data.  © 2024 American Physical Society.</t>
  </si>
  <si>
    <t>In the burgeoning ecosystem of Internet of Things, multivariate time-series (MTS) data has become ubiquitous, highlighting the fundamental role of time-series forecasting across numerous applications. The crucial challenge of long-term MTS forecasting requires adept models capable of capturing both intra- and inter-series dependencies. Recent advancements in deep learning, notably Transformers, have shown promise. However, many prevailing methods either marginalize interseries dependencies or overlook them entirely. To bridge this gap, this article introduces a novel series-aware framework, explicitly designed to emphasize the significance of such dependencies. At the heart of this framework lies our specific implementation: the SageFormer. As a series-aware graph-enhanced Transformer model, SageFormer proficiently discerns and models the intricate relationships between series using graph structures. Beyond capturing diverse temporal patterns, it also curtails redundant information across series. Notably, the series-aware framework seamlessly integrates with existing Transformer-based models, enriching their ability to comprehend interseries relationships. Extensive experiments on real-world and synthetic data sets validate the superior performance of SageFormer against contemporary state-of-the-art approaches.  © 2014 IEEE.</t>
  </si>
  <si>
    <t>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 © 2024 Copyright held by the owner/author(s).</t>
  </si>
  <si>
    <t>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 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 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 Conclusion: Only TARM and DYNOTEARS are practical algorithms for real-world data in this use case. As causal discovery is a method to debias purely statistical relationships, the gradient-based causal discovery algorithm DYNOTEARS was found to be most suitable. © The Author(s) 2024.</t>
  </si>
  <si>
    <t>While Machine-Learning based network data analytics are now commonplace for many networking solutions, nonetheless, limited access to appropriate networking data has been an enduring challenge for many networking problems. Causes for lack of such data include complexity of data gathering, commercial sensitivity, as well as privacy and regulatory constraints. To overcome these challenges, we present a Diffusion-Model (DM) based end-to-end framework, NetDiffus, for synthetic network traffic generation which is one of the emerging topics in networking and computing system. NetDiffus first converts one-dimensional time-series network traffic into two-dimensional images, and then synthesizes representative images for the original data. We demonstrate that NetDiffus outperforms the state-of-the-art traffic generation methods based on Generative Adversarial Networks (GANs) by providing 66.4% increase in the fidelity of the generated data and an 18.1% increase in downstream machine learning tasks. We evaluate NetDiffus on seven diverse traffic traces and show that utilizing synthetic data significantly improves several downstream ML tasks including traffic fingerprinting, anomaly detection and traffic classification. The code has been included at https://github.com/Nirhoshan/NetDiffus. © 2024 Elsevier B.V.</t>
  </si>
  <si>
    <t>Despite the large research effort devoted to learning dependencies between time series, the state of the art still faces a major limitation: existing methods learn partial correlations but fail to discriminate across distinct frequency bands. Motivated by many applications in which this differentiation is pivotal, we overcome this limitation by learning a block-sparse, frequency-dependent, partial correlation graph, in which layers correspond to different frequency bands, and partial correlations can occur over just a few layers. To this aim, we formulate and solve two nonconvex learning problems: the first has a closed-form solution and is suitable when there is prior knowledge about the number of partial correlations; the second hinges on an iterative solution based on successive convex approximation, and is effective for the general case where no prior knowledge is available. Numerical results on synthetic data show that the proposed methods outperform the current state of the art. Finally, the analysis of financial time series confirms that partial correlations exist only within a few frequency bands, underscoring how our methods enable the gaining of valuable insights that would be undetected without discriminating along the frequency domain.  © 1991-2012 IEEE.</t>
  </si>
  <si>
    <t>Nosocomial infections are a great source of concern for healthcare organizations. The spatial layout of hospitals and the movements of patients play significant roles in the spread of outbreaks. However, the existing models are ad-hoc for a specific hospital and research topic. This work shows the design of a data model to study the spread of infections among hospital patients. Its spatial dimension describes the hospital layout with several levels of detail, and the temporal dimension describes everything that happens to the patients in the form of events, which can relate to the spatial dimension. The model is meant to be sufficiently general to fit any hospital layout and to be used for different epidemiological research topics. We proved the model&amp;#x0027;s suitability by defining six queries based on patients' movements and contacts that could assist in several epidemiological research tasks, such as discovering potential transmission routes. The model was implemented as an RDF&amp;#x002A; knowledge graph, and the queries were in SPARQL&amp;#x002A;. Finally, we designed two experiments in which two outbreaks of Clostridium difficile were analyzed using several queries (four in the first experiment and two in the second) on a knowledge graph (105,000 nodes, 185,000 edges) with synthetic data. Authors</t>
  </si>
  <si>
    <t>The proceedings contain 20 papers. The special focus in this conference is on Modeling Decisions for Artificial Intelligence. The topics include: An Axiomatic Definition of Non-discrete Möbius transform; fuzzy Rough Choquet Distances; entropies from f-Divergences; comparative Study of Methods for Estimating Interval Priority Weights Focusing on the Accuracy in Selecting the Best Alternative; sequential Cluster Extraction by Noise Clustering Based on Local Outlier Factor; on Objective-Based Clustering from the Perspective of Transportation Problem; decision Tree Based Inference of Lightning Network Client Implementations; nuggets: Data Pattern Extraction Framework in R; User-Centred Argumentation Analysis of Local Explanations in Explainable AI; revised Margin-Maximization Method for Fuzzy Nearest Prototype Classification; bistochastically Private Release of Data Streams with Zero Delay; differentially Private Extreme Learning Machine; studying the Impact of Edge Privacy on Link Prediction in Temporal Graphs; Dissimilar Similarities: Comparing Human and Statistical Similarity Evaluation in Medical AI; on the Necessity of Counterfeits and Deletions for Continuous Data Publishing; A Poisoning-Resilient LDP Schema Leveraging Oblivious Transfer with the Hadamard Transform; experimental Evaluation for Risk Assessment of Privacy Preserving Synthetic Data; transforming Stock Price Forecasting: Deep Learning Architectures and Strategic Feature Engineering.</t>
  </si>
  <si>
    <t>Individual mobility is driven by activities and thus restricted geographically, especially for trip destination prediction in public transport. Existing statistical learning based models focus on extracting mobility regularity in predicting an individual's mobility. However, they are limited in modeling varied spatial mobility patterns driven by the same activity (e.g. an individual may travel to different locations for shopping). The paper proposes a deep learning model with activity, geographic and sequential (DeepAGS) information in predicting an individual's next trip destination in public transport. DeepAGS models the semantic features of activity and geography by using word embedding and graph convolutional network. An adaptive neural fusion gate mechanism is proposed to dynamically fuse the mobility activity and geographical information given the current trip information. Besides, DeepAGS uses the gated recurrent unit to capture the temporal mobility regularity. The approach is validated by using a real-world smartcard dataset in urban railway systems and comparing with state-of-the-art models. The results show that the proposed model outperforms its peers in terms of accuracy and robustness by effectively integrating the activity and geographical information relevant to a trip context. Also, we illustrate and verify the working mechanism of the DeepAGS model using the synthetic data constructed using real-world data. The DeepAGS model captures both the activity and geographic information of hidden mobility activities and thus could be potentially applicable to other mobility prediction tasks, such as bus trip destinations and individual GPS locations. © 2024 The Author(s). IET Intelligent Transport Systems published by John Wiley &amp; Sons Ltd on behalf of The Institution of Engineering and Technology.</t>
  </si>
  <si>
    <t>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  © 2024 IEEE.</t>
  </si>
  <si>
    <t>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 © 2024 IEEE.</t>
  </si>
  <si>
    <t>Acquiring vector representations of objects is essential for applying machine learning, statistical inference, and visualization. Although various vector acquisition methods have been proposed considering the relationship between objects in target data, most of them are supposed to use only a specific relevance level. In real-world data, however, there are cases where multiple relationships are contained between objects, such as time-varying similarity in time-series data or various weighted edges on graph-structured data. In this paper, a vector acquisition method which assigns vectors in a single coordinate system to objects preserving the information given by multiple relations between objects is proposed. In the proposed method, a logarithmic bilinear model parameterized by representation vectors is utilized for approximating relations between objects based on a stochastic embedding idea. The inference algorithm proposed in this study is interpreted in terms of information geometry: the m-projection from the probability distribution constructed from observed relations on the model manifold and the e-mixture in the model manifold are alternately repeated to estimate the parameters. Finally, the performance of the proposed method is evaluated using artificial data, and a case study is conducted using real data. © 2023, The Author(s).</t>
  </si>
  <si>
    <t>Collaborative urban traffic forecasting is an emerging area of research. Given the growing number of stakeholders and owners of traffic data, the collaboration between them is extremely important for successful citywide traffic forecasting and management. A stable collaboration between data owners requires a fair and efficient scheme for valuing contributions and distributing rewards. This study proposes the use of synthetic data sets both as a contribution and a reward in collaborative forecasting. This novel approach has several significant advantages over other collaboration schemes like federated model training: it is model-agnostic, privacy-preserving, flexible and enables market mechanisms for contribution valuation. The empirical part of the study illustrates the applicability of the proposed approach, using the real-world split of a road network between organisations. The experimental setup utilises an attention-based spatial-temporal graph neural network as a forecasting model and dynamic factors as an approach to synthetic data generation. The obtained results are analysed and found promising, and the advantages of the proposed approach are articulated. © 2024 The Authors. Published by ELSEVIER B.V.</t>
  </si>
  <si>
    <t>Isolation forest (iForest) has been emerging as arguably the most popular anomaly detector in recent years due to its general effectiveness across different benchmarks and strong scalability. Nevertheless, its linear axis-parallel isolation method often leads to (i) failure in detecting hard anomalies that are difficult to isolate in high-dimensional/non-linear-separable data space, and (ii) notorious algorithmic bias that assigns unexpectedly lower anomaly scores to artefact regions. These issues contribute to high false negative errors. Several iForest extensions are introduced, but they essentially still employ shallow, linear data partition, restricting their power in isolating true anomalies. Therefore, this paper proposes deep isolation forest. We introduce a new representation scheme that utilises casually initialised neural networks to map original data into random representation ensembles, where random axis-parallel cuts are subsequently applied to perform the data partition. This representation scheme facilitates high freedom of the partition in the original data space (equivalent to non-linear partition on subspaces of varying sizes), encouraging a unique synergy between random representations and random partition-based isolation. Extensive experiments show that our model achieves significant improvement over state-of-the-art isolation-based methods and deep detectors on tabular, graph and time series datasets; our model also inherits desired scalability from iForest.  © 1989-2012 IEEE.</t>
  </si>
  <si>
    <t>In the study of causality, we often seek not only to detect the presence of cause-effect relationships, but also to characterize how multiple causes combine to produce an effect. When the response to a change in one of the causes depends on the state of another cause, we say that there is an interaction or joint causation between the multiple causes. In this paper, we formalize a theory of joint causation based on higher-order derivatives and causal strength. Our proposed measure of joint causal strength is called the mixed differential causal effect (MDCE). We show that the MDCE approach can be naturally integrated into existing causal inference frameworks based on directed acyclic graphs or potential outcomes. We then derive a non-parametric estimator of the MDCE using Gaussian processes. We validate our approach with several experiments using synthetic data sets, demonstrating its applicability to static data as well as time series.  © 1991-2012 IEEE.</t>
  </si>
  <si>
    <t>Functional brain networks represent dynamic and complex interactions among anatomical regions of interest (ROIs), providing crucial clinical insights for neural pattern discovery and disorder diagnosis. In recent years, graph neural networks (GNNs) have proven immense success and effectiveness in analyzing structured network data. However, due to the high complexity of data acquisition, resulting in limited training resources of neuroimaging data, GNNs, like all deep learning models, suffer from overfitting. Moreover, their capability to capture useful neural patterns for downstream prediction is also adversely affected. To address such challenge, this study proposes BrainSTEAM, an integrated framework featuring a spatio-temporal module that consists of an EdgeConv GNN model, an autoencoder network, and a Mixup strategy. In particular, the spatio-temporal module aims to dynamically segment the time series signals of the ROI features for each subject into chunked sequences. We leverage each sequence to construct correlation networks, thereby increasing the training data. Additionally, we employ the EdgeConv GNN to capture ROI connectivity structures, an autoencoder for data denoising, and mixup for enhancing model training through linear data augmentation. We evaluate our framework on two real-world neuroimaging datasets, ABIDE for Autism prediction and HCP for gender prediction. Extensive experiments demonstrate the superiority and robustness of BrainSTEAM when compared to a variety of existing models, showcasing the strong potential of our proposed mechanisms in generalizing to other studies for connectome-based fMRI analysis.  © 2023 The Authors.</t>
  </si>
  <si>
    <t>Business Process Management algorithms are heavily limited by suboptimal algorithmic implementations that cannot leverage state-of-the-art algorithms in the field of relational and graph databases. The recent interest in this discipline for various IT sectors (cybersecurity, Industry 4.0, and e-Health) calls for defining new algorithms improving the performance of existing ones. This paper focuses on generating several traces collected in a log from declarative temporal models by pre-emptively representing those as a specific type of finite state automaton: we show that this task boils down to a single-source multi-target graph traversal on such automaton where both the number of distinct paths to be visited as well as their length are bounded. This paper presents a novel algorithm running in polynomial time over the size of the declarative model represented as a graph and the desired log’s size. The final experiments show that the resulting algorithm outperforms the state-of-the-art data-aware and dataless sequence generations in business process management. © 2023 Copyright held by the owner/author(s).</t>
  </si>
  <si>
    <t>Objectives: To examine recent literature in order to present a comprehensive overview of the current trends as regards the computational models used to represent the propagation of an infectious outbreak in a population, paying particular attention to those that represent network-based transmission. Methods: a systematic review was conducted following the PRISMA (Preferred Reporting Items for Systematic Reviews and Meta-Analyses) guidelines. Papers published in English between 2010 and September 2021 were sought in the ACM Digital Library, IEEE Xplore, PubMed and Scopus databases. Results: Upon considering their titles and abstracts, 832 papers were obtained, of which 192 were selected for a full content-body check. Of these, 112 studies were eventually deemed suitable for quantitative and qualitative analysis. Emphasis was placed on the spatial and temporal scales studied, the use of networks or graphs, and the granularity of the data used to evaluate the models. The models principally used to represent the spreading of outbreaks have been stochastic (55.36%), while the type of networks most frequently used are relationship networks (32.14%). The most common spatial dimension used is a region (19.64%) and the most used unit of time is a day (28.57%). Synthetic data as opposed to an external source were used in 51.79% of the papers. With regard to the granularity of the data sources, aggregated data such as censuses or transportation surveys are the most common. Conclusion: We identified a growing interest in the use of networks to represent disease transmission. We detected that research is focused on only certain combinations of the computational model, type of network (in both the expressive and the structural sense) and spatial scale, while the search for other interesting combinations has been left for the future. © 2023 The Authors</t>
  </si>
  <si>
    <t>Industrial information models are standardised ways of representing industrial devices, equipment, and processes together with the data collected from associated sensors and control systems. Companies invest in such models to enable digitalisation and modular, reusable solutions. They also invest heavily in analytics (e.g. machine learning) based on time series data sets to improve operations. Queries that use such context to retrieve time series data can make industrial data sets more accessible to practitioners performing analytics and application development. Moreover, they can enable scalable deployment of resulting analytical models. Industrial availability constraints require that queries over context and time series should be portable in general, as they should be able retrieve data for training in a cloud setting and production data for deployment in an on-premise setting. Solving this problem is challenging with existing approaches as context and time series data tend to exist in separate, specialised databases. We address the issue by proposing a hybrid query engine, namely Chrontext, in the setting of a SPARQL database hosting the static model, and an arbitrary time series database. We show how with a set of annotations in the knowledge graph, SPARQL queries can be evaluated over such a hybrid architecture. We provide a proof showing that our approach correctly answers SPARQL 1.1. queries. We implement our approach in Rust under the Apache 2.0 license, and use the Apache Arrow-based Polars library together with configurable pushdowns to achieve high performance. We compare the performance of Chrontext against Ontop, one of the most prominent virtual knowledge graph systems, on a synthetic data set based on industrial standards. Data are stored in a S3 data lake and PostgreSQL with the Dremio data lakehouse as the SQL integrator. We find that our approach performs 10× to 85× faster and consumes much less memory than Ontop. © 2023 The Author(s)</t>
  </si>
  <si>
    <t>We propose causal recurrent variational autoencoder (CR-VAE), a novel generative model that is able to learn a Granger causal graph from a multivariate time series x and incorporates the underlying causal mechanism into its data generation process. Distinct to the classical recurrent VAEs, our CR-VAE uses a multi-head decoder, in which the p-th head is responsible for generating the p-th dimension of x (i.e., xp). By imposing a sparsity-inducing penalty on the weights (of the decoder) and encouraging specific sets of weights to be zero, our CR-VAE learns a sparse adjacency matrix that encodes causal relations between all pairs of variables. Thanks to this causal matrix, our decoder strictly obeys the underlying principles of Granger causality, thereby making the data generating process transparent. We develop a two-stage approach to train the overall objective. Empirically, we evaluate the behavior of our model in synthetic data and two real-world human brain datasets involving, respectively, the electroencephalography (EEG) signals and the functional magnetic resonance imaging (fMRI) data. Our model consistently outperforms state-of-the-art time series generative models both qualitatively and quantitatively. Moreover, it also discovers a faithful causal graph with similar or improved accuracy over existing Granger causality-based causal inference methods. Code of CR-VAE is publicly available at https://github.com/hongmingli1995/CR-VAE. Copyright © 2023, Association for the Advancement of Artificial Intelligence (www.aaai.org). All rights reserved.</t>
  </si>
  <si>
    <t>The proceedings contain 7 papers. The topics discussed include: the commercial side of graph analytics: big uses, big mistakes, big opportunities; graph feature management: impact, challenges and opportunities; better distributed graph query planning with scouting queries; EAGER: explainable question answering using knowledge graphs; going with the flow: real-time max-flow on asynchronous dynamic graphs; future-time temporal path queries; fast synthetic data-aware log generation for temporal declarative models; learning graph neural networks using exact compression; and a demonstration of interpretability methods for graph neural networks.</t>
  </si>
  <si>
    <t>Traffic state identification is an important step before deploying many applications in intelligent transportation systems. Under the background of traffic big data and internet of things, traditional methods are unable to utilize heterogeneous data or deal with spatial-temporal correlations. Methods based on Graph Neural Network (GNN) are promising solutions to these issues, but are rarely used. This study applied a GNN-based model to the tidal traffic route identification. The traffic state identification was modeled as a node classification problem. A novel graph representation of road networks based on flow turns was proposed to represent heterogeneous data and tackle data missing issues. The Graph Attention Network (GAT) and Gate Recurrent Unit (GRU) were adopted to model the spatial-temporal correlations. Compromising on the difficulty of diverse real data collection, the model was trained with synthetic data and tested with real data. With tidal traffic as an example, results showed the good adaptabilities of GNN in traffic state identification, and the outperformance of proposed graph structure against two traditional representations. Overall, this study indicated the practical prospects of GNN in traffic state identification. © 2023 IEEE.</t>
  </si>
  <si>
    <t>Latent Variable Models (LVMs) propose to model the dynamics of neural populations by capturing low-dimensional structures that represent features involved in neural activity. Recent LVMs are based on deep learning methodology where a deep neural network is trained to reconstruct the same neural activity given as input and as a result to build the latent representation. Without taking past or future activity into account such a task is non-causal. In contrast, the task of forecasting neural activity based on given input extends the reconstruction task. LVMs that are trained on such a task could potentially capture temporal causality constraints within its latent representation. Forecasting has received less attention than reconstruction due to recording challenges such as limited neural measurements and trials. In this work, we address modeling neural population dynamics via the forecasting task and improve forecasting performance by including a prior, which consists of pairwise neural unit interaction as a multivariate dynamic system. Our proposed model-Additive, Multiplicative, and Adaptive Graph Neural Network (AMAG)-leverages additive and multiplicative message-passing operations analogous to the interactions in neuronal systems and adaptively learns the interaction among neural units to forecast their future activity. We demonstrate the advantage of AMAG compared to non-GNN based methods on synthetic data and multiple modalities of neural recordings (field potentials from penetrating electrodes or surface-level micro-electrocorticography) from four rhesus macaques. Our results show the ability of AMAG to recover ground truth spatial interactions and yield estimation for future dynamics of the neural population. © 2023 Neural information processing systems foundation. All rights reserved.</t>
  </si>
  <si>
    <t>While eco-friendly energy is attracting the public's interest in recent environmental issues, the market of lithium-ion batteries is expanding. Ensuring the safety and reliability of batteries is important in using batteries. Hence, it is essential to monitor the state of health (SOH) of the battery. Model-based SOH estimation has a limitation because battery data exhibit non-linear characteristics according to complex internal changes. To overcome this limitation, the data-based estimation of the SOH of the battery has been researched extensively. Data-based SOH estimation requires a large, high-quality battery dataset. In general, a battery dataset is built based on data obtained from experimental tests. However, this approach is time-dependent. To overcome this problem, data augmentation algorithms are used. TimeGAN is one of the time-series data augmentation algorithms that generate time-series data in the latent space while preserving temporal dynamics and static characteristics. To ensure stable training of data, TimeGAN generates synthetic data after data has been preprocessed using Min-Max scaling. In this study, various preprocessing techniques were applied for TimeGAN to generate more realistic synthetic data which was close to the original battery data. Results based on different preprocessing techniques were analyzed, and the preprocessing technique suitable for generating a battery dataset was proposed. Discriminative and predictive scores were used for evaluation with t-SNE graphs for visual comparison. When Max-Abs scaling and Normalization preprocessing techniques were applied, the discriminative score improved by 53.7 and 44.4%, respectively, compared to the conventional Min-Max scaling.  © 2023 IEEE.</t>
  </si>
  <si>
    <t>The proceedings contain 331 papers. The topics discussed include: METFORC: classification with meta-learning and multimodal stratified time series forest; exploring the faithfulness of synthetic data by generative models; few-shot image classification for rare ocular disease with an ensemble of pretrained feature extractors and a statistical classifier; SAttisUNet: UNet-like Swin transformer with attentive skip connections for enhanced medical image segmentation; benchmarking communicative reinforcement learning frameworks on multi-robot cooperative tasks; vision transformer-based classification for lung and colon cancer using histopathology images; relevant instance segmentation in American football practice images to aid risky tackle detection; optimizing multi commodity flow problem under uncertainty: a deep reinforcement learning approach; and temporal-based action graph with sequential pattern mining for churn detection: a Playtika case study.</t>
  </si>
  <si>
    <t>Temporal point process is widely used for sequential data modeling. In this article, we focus on the problem of modeling sequential event propagation in graph, such as retweeting by social network users and news transmitting between websites. Given a collection of event propagation sequences, the conventional point process model considers only the event history, i.e., embed event history into a vector, not the latent graph structure. We propose a graph biased temporal point process (GBTPP) leveraging the structural information from graph representation learning, where the direct influence between nodes and indirect influence from event history is modeled. Moreover, the learned node embedding vector is also integrated into the embedded event history as side information. Experiments on a synthetic data set and two real-world data sets show the efficacy of our model compared with conventional methods and state-of-the-art ones.  © 2012 IEEE.</t>
  </si>
  <si>
    <t>In this work, we formalize the problem of causal inference over graph-based relational time-series data where each node in the graph has one or more time-series associated to it. We propose causal inference models for this problem that leverage both the graph topology and time-series to accurately estimate local causal effects of nodes. Furthermore, the relational time-series causal inference models are able to estimate local effects for individual nodes by exploiting local node-centric temporal dependencies and topological/structural dependencies. We show that simpler causal models that do not consider the graph topology are recovered as special cases of the proposed relational time-series causal inference model. We describe how the DurbinWu-Hausman test of specification can be used to test for the consistency of the proposed estimator from data. Empirically, we demonstrate the effectiveness of the causal inference models on both synthetic data with known ground-truth and a largescale observational relational time-series data set collected from Wikipedia.  © 2023 IEEE.</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</si>
  <si>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The Author(s) 2023. Published by Oxford University Press GigaScience.</t>
  </si>
  <si>
    <t>The proceedings contain 19 papers. The special focus in this conference is on Hybrid Artificial Intelligence and Enterprise Modelling for Intelligent Information Systems. The topics include: A Linked Data Based Advanced Credit Rationale; interactive Machine Learning of Knowledge Graph-Based Explainable Process Analysis; a Weighted Knowledge Graph for Representing the Results of a Systematic Literature Review; Knowledge Engineering Formalizing DECENT Meta Model; using Knowledge Graphs for Record Linkage: Challenges and Opportunities; employing Knowledge Graphs for Capturing Semantic Aspects of Robotic Process Automation; Regulation-Friendly Privacy-Preserving Blockchain Based on zk-SNARK; blockchain Governance Design a Computer Science Perspective; The MEV Saga: Can Regulation Illuminate the Dark Forest?; enriching Enterprise Architecture Models with Healthcare Domain Knowledge; supporting Reuse of Business Process Models by Semantic Annotation; position Paper - Hybrid Artificial Intelligence for Realizing a Leadership Assistant for Platform-Based Leadership Consulting; developing a Maturity Assessment Tool to Enable the Management of Artificial Intelligence for Organizations; mapping Time-Series Data on Process Patterns to Generate Synthetic Data; Towards Crisis Response and Intervention Using Knowledge Graphs - CRISP Case Study; The RAI Way: A Technical Analysis and Design Method for Building Enterprise Semantic Layers; Towards Recommendations for Knowledge-Graph-Based Requirements Management in Construction: A Report on the EU DigiChecks Project.</t>
  </si>
  <si>
    <t>We develop methodology for network data with special attention to epidemic network spatio-temporal structures. We provide estimation methodology for linear network autoregressive models for both continuous and count multivariate time series. A study of non-linear models for inference under the assumption of known network structure is provided. We propose a family of test statistics for testing linearity of the imposed model. In particular, we compare empirically two bootstrap versions of a supremum-type quasi-score test. Synthetic data are employed to demonstrate the validity of the methodological results. Finally, an epidemic application of the proposed methodology to daily COVID-19 cases detected on province-level geographical network in Italy complements the work. © 2023, The Author(s), under exclusive license to Springer Nature Switzerland AG.</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</si>
  <si>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2023 The Author(s). Published by Oxford University Press GigaScience.</t>
  </si>
  <si>
    <t>We present a constraint-based algorithm for learning causal structures from observational time-series data, in the presence of latent confounders. We assume a discrete-time, stationary structural vector autoregressive process, with both temporal and contemporaneous causal relations. One may ask if temporal and contemporaneous relations should be treated differently. The presented algorithm gradually refines a causal graph by learning long-term temporal relations before short-term ones, where contemporaneous relations are learned last. This ordering of causal relations to be learnt leads to a reduction in the required number of statistical tests. We validate this reduction empirically and demonstrate that it leads to higher accuracy for synthetic data and more plausible causal graphs for real-world data compared to state-of-the-art algorithms. © 2023 Proceedings of Machine Learning Research. All rights reserved.</t>
  </si>
  <si>
    <t>In the last years, energy markets have shown a great volatility with high prices' variations. Most of the machine learning algorithms implemented to forecast the market evolution and to optimize the trading strategies are data-driven and data-intensive; thus, it is important to have a sufficient number of training samples to avoid the overfitting issue. In this context, Generative Adversarial Networks (GANs) have become very popular in the recent years, especially in computer vision, where they are used to manipulate and generate video and images. This methodology has been applied also for time series analysis, especially in the financial context for generating synthetic data. In this work, the application of GANs for generating intraday open-high-low-close prices and related traded volumes for European Carbon Emissions Allowances futures. In particular, a new encoding and decoding process has been introduced to allow the generation of longer time series with significantly higher quality, making the generated data useful for practical applications.  © 2023 IEEE.</t>
  </si>
  <si>
    <t>Data that house topological information is manifested as relationships between multiple variables via a graph formulation. Various methods have been developed for analyzing time series on the nodes of graphs but research works on graph signals with volatility are limited. In this article, we propose a graph framework of multivariate Generalized Autoregressive Conditional Heteroscedasticity (GARCH) models from the spectral perspective with the Laplacian matrix. We introduce three graphical GARCH models: one symmetric Graph GARCH model and two asymmetric models namely Graph Exponential GARCH and Graph GJR-GARCH. Assuming that graph signals and their residuals are graph stationary, this framework can decompose the multivariate GARCH models into a linear combination of several univariate GARCH processes in the graph spectral domain. Moreover, it is possible to reduce the number of parameters with the graph topology information and further reduce the estimation cost by utilizing the principal components of the graph signal in the frequency domain. These proposed models are tested on synthetic data and on two real applications for weather prediction and wind power forecasting. With the data and GARCH model residuals being graph stationary, the experiment results demonstrate that these three graphical models can make multi-step predictions more accurately than non-graph GARCH models and Graph Vector Autoregressive Moving Average model.  © 2015 IEEE.</t>
  </si>
  <si>
    <t>Online topology estimation of graph-connected time series is challenging in practice, particularly because the dependencies between the time series in many real-world scenarios are nonlinear. To address this challenge, we introduce a novel kernel-based algorithm for online graph topology estimation. Our proposed algorithm also performs a Fourier-based random feature approximation to tackle the curse of dimensionality associated with kernel representations. Exploiting the fact that real-world networks often exhibit sparse topologies, we propose a group-Lasso based optimization framework, which is solved using an iterative composite objective mirror descent method, yielding an online algorithm with fixed computational complexity per iteration. We provide theoretical guarantees for our algorithm and prove that it can achieve sublinear dynamic regret under certain reasonable assumptions. In experiments conducted on both real and synthetic data, our method outperforms existing state-of-the-art competitors.  © 1991-2012 IEEE.</t>
  </si>
  <si>
    <t>The proceedings contain 14 papers. The special focus in this conference is on Security and Privacy in Social Networks and Big Data. The topics include: Secure and Efficient Data Processing for Cloud Computing with Fine-Grained Access Control; detection of Privacy-Harming Social Media Posts in Italian; edge Local Differential Privacy for Dynamic Graphs; temporal Analysis of Privacy Enhancing Technology Traffic Using Deep Learning; extracting Common Features of Fake News by Multi-Head-Attention; twitter Bots Influence on the Russo-Ukrainian War During the 2022 Italian General Elections; Did State-Sponsored Trolls Shape the 2016 US Presidential Election Discourse? Quantifying Influence on Twitter; data Reconstruction Attack Against Principal Component Analysis; the Impact of Synthetic Data on Membership Inference Attacks; Time Is on My Side: Forward-Replay Attacks to TOTP Authentication; Cyber Security Researchers on Online Social Networks: From the Lens of the UK’s ACEs-CSR on Twitter; the Social and Technological Incentives for Cybercriminals to Engage in Ransomware Activities.</t>
  </si>
  <si>
    <t>Qualitative spatio-temporal reasoning (QSTR) plays a key role in spatial cognition and artificial intelligence (AI) research. In the past, research and applications of QSTR have often taken place in the context of declarative forms of knowledge representation. For instance, conceptual neighborhoods (CN) and composition tables (CT) of relations are introduced explicitly and utilized for spatial/temporal reasoning. Orthogonal to this line of study, we focus on bottom-up machine learning (ML) approaches to investigate QSTR. More specifically, we are interested in questions of whether similarities between qualitative relations can be learned from data purely based on ML models, and, if so, how these models differ from the ones studied by traditional approaches. To achieve this, we propose a graph-based approach to examine the similarity of relations by analyzing trained ML models. Using various experiments on synthetic data, we demonstrate that the relationships discovered by ML models are well-aligned with CN structures introduced in the (theoretical) literature, for both spatial and temporal reasoning. Noticeably, even with significantly limited qualitative information for training, ML models are still able to automatically construct neighborhood structures. Moreover, patterns of asymmetric similarities between relations are disclosed using such a data-driven approach. To the best of our knowledge, our work is the first to automatically discover CNs without any domain knowledge. Our results can be applied to discovering CNs of any set of jointly exhaustive and pairwise disjoint (JEPD) relations. © 2022 Schloss Dagstuhl- Leibniz-Zentrum fur Informatik GmbH, Dagstuhl Publishing. All rights reserved.</t>
  </si>
  <si>
    <t>Network traffic data is key in addressing several important cybersecurity problems, such as intrusion and malware detection, and network management problems, such as application and device identification. However, it poses several challenges to building machine learning models. Two main challenges are manual feature engineering and scarcity of training data due to privacy and security concerns. In this tutorial we provide a comprehensive review of recent advances to address these challenges through use of deep learning. Network traffic data can be cast as a multivariate time-series (sequential) data, attributed graph data, or image data to leverage representation learning architectures available in deep learning. To preserve data privacy, generative methods, such as GANs and autoregressive neural architectures can be used to synthesize realistic network traffic data. In particular, our tutorial is organized into three parts: 1) we describe network traffic data, applications to security and network management, and challenges; 2) we present different deep learning architectures used for representation learning instead of feature engineering of network traffic data; and, 3) we describe use of generative neural models for synthetic generation of network traffic data.  © 2022 Owner/Author.</t>
  </si>
  <si>
    <t>In autonomous vehicles (AVs), early warning systems rely on collision prediction to ensure occupant safety. However, state-of-the-art methods using deep convolutional networks either fail at modeling collisions or are too expensive/slow, making them less suitable for deployment on AV edge hardware. To address these limitations, we propose SG2VEC, a spatiotemporal scene-graph embedding methodology that uses the graph neural network (GNN) and long short-term memory (LSTM) layers to predict future collisions via visual scene perception. We demonstrate that SG2VEC predicts collisions 8.11% more accurately and 39.07% earlier than the state-of-the-art method on synthesized data sets, and 29.47% more accurately on a challenging real-world collision data set. We also show that SG2VEC is better than the state of the art at transferring knowledge from synthetic data sets to real-world driving data sets. Finally, we demonstrate that SG2VEC performs inference 9.3× faster with an 88.0% smaller model, 32.4% less power, and 92.8% less energy than the state-of-the-art method on the industry-standard Nvidia DRIVE PX 2 platform, making it more suitable for implementation on the edge. © 2014 IEEE.</t>
  </si>
  <si>
    <t>Interacting subsystems are commonly described by networks, where multimodal behaviour found in most natural or engineered systems found recent extension in form of multilayer networks. Since multimodal interaction is often not dictated by network topology alone and may manifest in form of cross-layer information exchange, multilayer network flow becomes of relevant further interest. Rationale can be found in most interacting subsystems, where a form of multimodal flow across layers can be observed in e.g., chemical processes, energy networks, logistics, finance, or any other form of conversion process relying on the laws of conservation. To this end, the formal notion of heterogeneous network flow is proposed, as a multilayer flow function aligned with the theory of network flow. Furthermore, dynamic equivalence is established with the framework of Petri nets, as the baseline model of concurrent event systems. Application of the resulting multilayer Laplacian flow and flow centrality is presented, along with graph learning based inference of multilayer relationships over multimodal data. On synthetic data the proposed framework demonstrates benefits of multimodal flow derivation in critical component identification. It also displays applicability in relationship inference (learning based function approximation) on multimodal time series. On real-world data the proposed framework provides, among others, multimodal flow interpretation of U.S. economic activity, uncovering underlying empirical steady state probability distribution, as well as inherent network (economic) robustness. © 2022, The Author(s).</t>
  </si>
  <si>
    <t>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 © 2022 Elsevier Ltd</t>
  </si>
  <si>
    <t>The proceedings contain 23 papers. The topics discussed include: distinguishing fake and real news of twitter data with the help of machine learning techniques; self-adapting design and maintenance of multi-model databases; a comparative study of three deep learning models for PM2.5 interpolation; identification of weak signals in a temporal graph of social interactions; provenance in spatial queries; feature analysis of Indus Valley and Dravidian language scripts with similarity matrices; a formal framework for data lakes based on category theory; a formal framework for data lakes based on category theory; synthetic data generation: a comparative study; experimental evaluation of low code development, Java Swing, and JavaScript programming; and applications of majority judgement for winner selection in Eurovision song contest.</t>
  </si>
  <si>
    <t>Accurate causal discovery is significant for the data-driven root cause diagnosis. A novel framework based on modified temporal convolution and multi-head self-attention (MTCMS) is proposed for causal discovery and root cause diagnosis in multivariate time series. The temporal convolutional network is modified through feature reconstruction and skip connection to heighten the ability of feature extraction, which are further used to mine causalities. The multi-head self-attention is modified via threshold normalization for quantifiable causal inference, elevating the accuracy and generalization performance. Additionally, the calculation rule of root node score based on contrastive causal graph is proposed for root cause diagnosis. The MTCMS network outperforms all ablation structures and comparison methods in the causal discovery experiment based on synthetic data, manifesting its effectiveness and superiority. In the root cause diagnosis experiment based on the Tennessee Eastman benchmark process, the diagnosis result is consistent with the mechanism analysis, which further demonstrates its effectiveness. © 2022 Elsevier Ltd</t>
  </si>
  <si>
    <t>This article studies the core maintenance problem in dynamic graphs. The core number is a fundamental index reflecting the cohesiveness of a graph, which is widely used in large-scale graph analytics. The core maintenance problem requires updating the core numbers of vertices after a set of edges and vertices are inserted into or deleted from the graph. Previous works focus on the scenario of single-edge updates and process the edges one by one when multiple edges are inserted/deleted. We initiate the studies of processing multiple edges concurrently to improve the efficiency of core maintenance. Specifically, we discover a structure of inserted/deleted edges, superior edge set, which can be processed together to greatly reduce unnecessarily repeated visits of vertices in the procedure of sequential edge processing. Based on the structure of the superior edge set, efficient algorithms are then devised for incremental and decremental core maintenance, respectively. Compared with single-edge processing algorithms, our algorithms show a significant speedup in the processing time. Furthermore, our algorithms admit parallel implementations, which can further improve the update efficiency. We also conduct extensive experiments on different types of real-world, temporal, and synthetic data sets, and the results illustrate that the proposed algorithms exhibit good efficiency, stability, and scalability.  © 2014 IEEE.</t>
  </si>
  <si>
    <t>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 © 2022 Proceedings of Machine Learning Research. All rights reserved.</t>
  </si>
  <si>
    <t>The paper outlines a formal model of plot (and syuzhet) for narrative texts. The basic unit are scenes and the motif repertoire instantiated in the scene. The motif repertoire consists of three sets of (closely related) elements: character stereotypes, types of verbal actions and action types. It is assumed that the motif repertoire is highly dependent on the corpus which is analyzed, in our case a corpus of romance and horror novels published as pulp fiction. The resulting information is represented in a temporal graph which in turn is used to compute relevant information on the scenes and characters. Scenes are also characterized by their valence and their arousal value. A second representation which offers with a topic model of the direct speech and the narrative text a simple proxy for the types of verbal actions and the action types is also created. To assess the ability of these information structures to indicate changes in the temporal structures three evaluation methods are used based on artificial data. We can confirm that a very abstract representation of the plot is able to do so, but contrary to our expectations the more information-rich model which makes use of the topic model is not better in doing so. The main contribution of this paper is its attempt to integrate different research proposals into one integral model. We offer a descriptive framework and a proposal for the formal model of plot, which makes it possible to identify research problems and align existing approaches. © 2022 Copyright for this paper by its authors.</t>
  </si>
  <si>
    <t>Recent advances in high-throughput single-cell technologies provide new opportunities for computational modeling of gene regulatory networks (GRNs) with an unprecedented amount of gene expression data. Current studies on the Boolean network (BN) modeling of GRNs mostly depend on bulk time-series data and focus on the synchronous update scheme due to its computational simplicity and tractability. However, such synchrony is a strong and rarely biologically realistic assumption. In this study, we adopt the asynchronous update scheme instead and propose a novel framework called SgpNet to infer asynchronous BNs from single-cell data by formulating it into a multiobjective optimization problem. SgpNet aims to find BNs that can match the asynchronous state transition graph (STG) extracted from single-cell data and retain the sparsity of GRNs. To search the huge solution space efficiently, we encode each Boolean function as a tree in genetic programming and evolve all functions of a network simultaneously via cooperative coevolution. Besides, we develop a regulator preselection strategy in view of GRN sparsity to further enhance learning efficiency. An error threshold estimation heuristic is also proposed to ease tedious parameter tuning. SgpNet is compared with the state-of-the-art method on both synthetic data and experimental single-cell data. Results show that SgpNet achieves comparable inference accuracy, while it has far fewer parameters and eliminates artificial restrictions on the Boolean function structures. Furthermore, SgpNet can potentially scale to large networks via straightforward parallelization on multiple cores.  © 2013 IEEE.</t>
  </si>
  <si>
    <t>Reliable traffic volume forecasting remains a significant challenge due to the unstable variation patterns of traffic volume and the irregular spatial structure of traffic network. Most of previous works have neglected the implicit variation patterns of traffic volume, failing to model its spatiotemporal dependencies comprehensively. Although graph convolutional networks have been widely applied to traffic volume forecasting, most are constructed using simple graphs with limited representations, which may restrict their ability to extract deep spatial features. Therefore, a novel deep learning model is proposed in this study to address these deficiencies for improving the forecasting accuracy of traffic volume. First, a new spatiotemporal dependencies generative adversarial network is proposed to generate synthetic data (i.e., synthetic traffic volume) by using traffic speed and occupancy to construct latent variables (i.e., the input of generator in generative adversarial network), which is beneficial for capturing the implicit variation patterns of traffic volume. Then, a new multi-graph convolutional network is proposed to explore and model the heterogeneous correlations among sensors from multiple perspectives, so as to facilitate the effective extraction of deep non-Euclidean spatial features. Finally, experiments on two real-world datasets demonstrate that the proposed model makes accurate traffic volume forecasting and outperforms other state-of-the-art methods. © 2021 Elsevier Ltd</t>
  </si>
  <si>
    <t>There have been several recent efforts towards developing representations for multivariate time-series in an unsupervised learning framework. Such representations can prove beneficial in tasks such as activity recognition, health monitoring, and anomaly detection. In this paper, we consider a setting where we observe time-series at each node in a dynamic graph. We propose a framework called GraphTNC for unsupervised learning of joint representations of the graph and the time-series. Our approach employs a contrastive learning strategy. Based on an assumption that the time-series and graph evolution dynamics are piecewise smooth, we identify local windows of time where the signals exhibit approximate stationarity. We then train an encoding that allows the distribution of signals within a neighborhood to be distinguished from the distribution of non-neighboring signals. We first demonstrate the performance of our proposed framework using synthetic data, and subsequently we show that it can prove beneficial for the classification task with real-world datasets. © 2022 European Signal Processing Conference, EUSIPCO. All rights reserved.</t>
  </si>
  <si>
    <t>Optical imaging of calcium signals in the brain has enabled researchers to observe the activity of hundreds-to-thousands of individual neurons simultaneously. Current methods predominantly use morphological information, typically focusing on expected shapes of cell bodies, to better identify neurons in the field-of-view. The explicit shape constraints limit the applicability of automated cell identification to other important imaging scales with more complex morphologies, e.g., dendritic or widefield imaging. Specifically, fluorescing components may be broken up, incompletely found, or merged in ways that do not accurately describe the underlying neural activity. Here we present Graph Filtered Temporal Dictionary (GraFT), a new approach that frames the problem of isolating independent fluorescing components as a dictionary learning problem. Specifically, we focus on the time-traces - the main quantity used in scientific discovery - and learn a time trace dictionary with the spatial maps acting as the presence coefficients encoding which pixels the time-traces are active in. Furthermore, we present a novel graph filtering model which redefines connectivity between pixels in terms of their shared temporal activity, rather than spatial proximity. This model greatly eases the ability of our method to handle data with complex non-local spatial structure. We demonstrate important properties of our method, such as robustness to morphology, simultaneously detecting different neuronal types, and implicitly inferring number of neurons, on both synthetic data and real data examples. Specifically, we demonstrate applications of our method to calcium imaging both at the dendritic, somatic, and widefield scales.  © 1992-2012 IEEE.</t>
  </si>
  <si>
    <t>Causal graph extraction from news has the potential to aid in the understanding of complex scenarios. In particular, it can help explain and predict events, as well as conjecture about possible cause-effect connections. However, limited work has addressed the problem of large-scale extraction of causal graphs from news articles. This article presents a novel framework for extracting causal graphs from digital text media. The framework relies on topic-relevant variables representing terms and ongoing events that are selected from a domain under analysis by applying specially developed information retrieval and natural language processing methods. Events are represented as event-phrase embeddings, which make it possible to group similar events into semantically cohesive clusters. A time series of the selected variables is given as input to a causal structure learning techniques to learn a causal graph associated with the topic that is being examined. The complete framework is applied to the New York Times dataset, which covers news for a period of 246 months (roughly 20 years), and is illustrated through a case study. An initial evaluation based on synthetic data is carried out to gain insight into the most effective time-series causality learning techniques. This evaluation comprises a systematic analysis of nine state-of-the-art causal structure learning techniques and two novel ensemble methods derived from the most effective techniques. Subsequently, the complete framework based on the most promising causal structure learning technique is evaluated with domain experts in a real-world scenario through the use of the presented case study. The proposed analysis offers valuable insights into the problems of identifying topic-relevant variables from large volumes of news and learning causal graphs from time series © Copyright 2022 Maisonnave et al</t>
  </si>
  <si>
    <t>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  © 2013 IEEE.</t>
  </si>
  <si>
    <t>Time-series SAR interferometry (TS-InSAR) has been widely used to map the millimeter-scale interseismic displacements. Tropospheric noise is still a key error source that hinders further improvement of such measurement. In this article, a new spatiotemporal TS-InSAR tropospheric noise filtering is proposed to approach higher accuracy measurements. We first construct a 2-D arc network for all the data points, and based on that a temporal high-pass and spatial low-pass filtering is applied to estimate the tropospheric noise for all the points. To better filter out long-wavelength interseismic displacements in temporal high-pass filtering, we construct four-candidate time-series models to model the displacement histories for each arc. To avoid overfitting, the F hypothesis test is applied to select the most suitable model for all arcs. Notably, instead of the commonly used Delaunay network, the all-pairs-shortest-path algorithm in the graph theory is employed to reconstruct all arcs and to improve the applicability of the time-series model. Comprehensive tests using synthetic data and Sentinel-1 data covering Central San Andreas Fault (CSAF) creep section validate our tropospheric noise removal approach in measuring the interseismic velocity across the fault.  © 1980-2012 IEEE.</t>
  </si>
  <si>
    <t>Online ride-hailing platforms, such as Uber, DiDi and Lyft, have significantly revolutionized the way of travelling and improved traffic efficiency. How to match orders with feasible vehicles and how to dispatch idle vehicles to the area with potential riding demands are two key issues for the ride-hailing platforms. However, existing works usually deal with only one of them and ignore the fact that the current matching and repositioning results may affect the supply and demand in the future since they will affect the future vehicle distributions in different zones. In this paper, we use the vehicle value function to characterize the spatio-temporal value of vehicles. At each decision-making round, we first match orders with vehicles by using bipartite graph maximum weight matching with the vehicle value function. Then we will provide idle vehicles with repositioning suggestions, where we predict the riding demand in each zone in the future, and then use a greedy strategy combined with vehicle value function to maximize social welfare. Extensive experiments based on real-world data as well the analytic synthetic data demonstrate that our method can outperform benchmark approaches in terms of the long-term social welfare and service ratio. © 2022, The Author(s), under exclusive license to Springer Nature Switzerland AG.</t>
  </si>
  <si>
    <t>Estimating the unknown causal dependencies among graph-connected time series plays an important role in many applications, such as sensor network analysis, signal processing over cyber-physical systems, and finance engineering. Inference of such causal dependencies, often know as topology identification, is not well studied for non-linear non-stationary systems, and most of the existing methods are batch-based which are not capable of handling streaming sensor signals. In this paper, we propose an online kernel-based algorithm for topology estimation of non-linear vector autoregressive time series by solving a sparse online optimization framework using the composite objective mirror descent method. Experiments conducted on real and synthetic data sets show that the proposed algorithm outperforms the state-of-the-art methods for topology estimation. © 2021 IEEE.</t>
  </si>
  <si>
    <t>Adaptive traffic signal control plays a significant role in the construction of smart cities. This task is challenging because of many essential factors, such as cooperation among neighboring intersections and dynamic traffic scenarios. First, to facilitate the cooperation of traffic signals, existing work adopts graph neural networks to incorporate the temporal and spatial influences of the surrounding intersections into the target intersection, where spatialoral information is used separately. However, one drawback of these methods is that the spatialoral correlations are not adequately exploited to obtain a better control scheme. Second, in a dynamic traffic environment, the historical state of the intersection is also critical for predicting future signal switching. Previous work mainly solves this problem using the current intersection's state, neglecting the fact that traffic flow is continuously changing both spatially and temporally and does not handle the historical state. In this paper, we propose a novel neural network framework named DynSTGAT, which integrates dynamic historical state into a new spatialoral graph attention network to address the above two problems. More specifically, our DynSTGAT model employs a novel multi-head graph attention mechanism, which aims to adequately exploit the joint relations of spatialoral information. Then, to efficiently utilize the historical state information of the intersection, we design a sequence model with the temporal convolutional network (TCN) to capture the historical information and further merge it with the spatial information to improve its performance. Extensive experiments conducted in the multi-intersection scenario on synthetic data and real-world data confirm that our method can achieve superior performance in travel time and throughput against the state-of-the-art methods. © 2021 ACM.</t>
  </si>
  <si>
    <t>Graph pattern matching has been extensively investigated on general graphs without time information over decades. Nevertheless, few studies focus on temporal graphs, where a relationship between two vertices takes place at a specific moment and lingers for some time. In this paper, we propose a new notion so-called time-respecting flow graph, in which all paths are time-respecting (i.e., a sequence of contacts with non-decreasing time), and one vertex is distinguished as the root, from which other vertices can be reached via a time-respecting path. Based on this, we explore the problem of time-respecting flow graph pattern matching on temporal graphs. This problem motivates important applications in epidemiology, information diffusion, crime detection, etc. To address it, we present one baseline algorithm as well as two optimized algorithms that utilize several efficient matching strategies and topological sort based technique to boost efficiency. Extensive experimental evaluation using both real and synthetic data sets demonstrates the effectiveness and efficiency of our proposed algorithms. Compared with baseline method, our optimized algorithms could achieve up to three orders of magnitude speedup. © 1989-2012 IEEE.</t>
  </si>
  <si>
    <t>The loosely-coupled microservices architecture has become increasingly popular due to the advantage of its modularity and elasticity in cloud applications. However, it also seriously complicates cloud management and degrades the performance of IT operations. Today, AI has been the locus of commerce and transactions, and transforming traditional IT operations for speed and growth. Inferring the dependencies among an application's microservices can greatly help SREs diagnose possible root causes of performance issues, which is a hard task due to the complex topology of microservices is often unknown in practice. Prior literature on detecting causal structure for cloud services requires significant application instrumentation, which rarely holds in reality. In this work, we leverage Granger causality models on just monitored log data of a microservice-based application to infer the impact of dependencies between microservices. We first describe the approach of modeling discrete log data as time series, and then formally define the Granger causality problem using both linear and nonlinear autoregressive models. Finally, we conduct an extensive comparative study to show the performance of the state-of-The-Art linear and nonlinear (i.e., neural) Granger causality methods on both synthetic data and real-world log data from a publicly available benchmark microservice system. Our preliminary results indicate that neural Granger causality models outperform traditional Granger causality methods on both linear and nonlinear time series data, while for large linear time series, linear Granger causal models are more efficient with high accuracy. Using the real-world log data, we also demonstrate our interesting findings on inferred dependency graph of microservices by linear and neural Granger causality models.  © 2021 IEEE.</t>
  </si>
  <si>
    <t>Online topology estimation of graph-connected time series is challenging, especially since the causal dependencies in many real-world networks are nonlinear. In this paper, we propose a kernel-based algorithm for graph topology estimation. The algorithm uses a Fourier-based Random feature approximation to tackle the curse of dimensionality associated with the kernel representations. Exploiting the fact that the real-world networks often exhibit sparse topologies, we propose a group lasso based optimization framework, which is solve using an iterative composite objective mirror descent method, yielding an online algorithm with fixed computational complexity per iteration. The experiments conducted on real and synthetic data show that the proposed method outperforms its competitors.  © 2021 IEEE.</t>
  </si>
  <si>
    <t>The integration of behavioral phenomena into mechanistic models of cognitive function is a fundamental staple of cognitive science. Yet, researchers are beginning to accumulate increasing amounts of data without having the temporal or monetary resources to integrate these data into scientific theories. We seek to overcome these limitations by incorporating existing machine learning techniques into an open-source pipeline for the automated construction of quantitative models. This pipeline leverages the use of neural architecture search to automate the discovery of interpretable model architectures, and automatic differentiation to automate the fitting of model parameters to data. We evaluate the utility of these methods based on their ability to recover quantitative models of human information processing from synthetic data. We find that these methods are capable of recovering basic quantitative motifs from models of psychophysics, learning and decision making. We also highlight weaknesses of this framework and discuss future directions for their mitigation. © Cognitive Science Society: Comparative Cognition: Animal Minds, CogSci 2021.All rights reserved.</t>
  </si>
  <si>
    <t>Estimating time-varying graphs, i.e., a set of graphs in which one graph represents the relationship among nodes in a certain time slot, from observed data is a crucial problem in signal processing, machine learning, and data mining. Although many existing methods only estimate graphs with a single temporal resolution, the actual graphs often demonstrate different relationships in different temporal resolutions. In this study, we propose an approach for time-varying graph learning by leveraging a multiresolution property. The proposed method assumes that time-varying graphs can be decomposed by a linear combination of graphs localized at different temporal resolutions. We formulate a convex optimization problem for temporal multiresolution graph learning. In experiments using synthetic and real data, the proposed method demonstrates the promising objective performances for synthetic data, and obtains reasonable temporal multiresolution graphs from real data.  © 2013 IEEE.</t>
  </si>
  <si>
    <t>Many high-dimensional and large-volume data sets of practical relevance have hierarchical structures induced by trees, graphs or time series. Such data sets are hard to process in Euclidean spaces and one often seeks low-dimensional embeddings in other space forms to perform required learning tasks. For hierarchical data, the space of choice is hyperbolic since it guarantees low-distortion embeddings for tree-like structures. Unfortunately, the geometry of hyperbolic spaces has properties not encountered in Euclidean spaces that pose challenges when trying to rigorously analyze algorithmic solutions. Here, for the first time, we establish a unified framework for learning scalable and simple hyperbolic linear classifiers with provable performance guarantees. The gist of our approach is to focus on Poincaré ball models and formulate the classification problems using tangent space formalisms. Our results include a new hyperbolic and second-order perceptron algorithm as well as an efficient and highly accurate convex optimization setup for hyperbolic support vector machine classifiers. All algorithms provably converge and are highly scalable as they have complexities comparable to those of their Euclidean counterparts. Their performance accuracies on synthetic data sets comprising millions of points, as well as on complex real-world data sets such as single-cell RNA-seq expression measurements, CIFAR10, 1 Fashion-MNIST and mini-ImageNet.  © 2021 IEEE.</t>
  </si>
  <si>
    <t>Brain source imaging is an important method for noninvasively characterizing brain activity using Electroencephalogram (EEG) or Magnetoencephalography (MEG) recordings. Traditional EEG/MEG Source Imaging (ESI) methods usually assume the source activities at different time points are unrelated, and do not utilize the temporal structure in the source activation, making the ESI analysis sensitive to noise. Some methods may encourage very similar activation patterns across the entire time course and may be incapable of accounting the variation along the time course. To effectively deal with noise while maintaining flexibility and continuity among brain activation patterns, we propose a novel probabilistic ESI model based on a hierarchical graph prior. Under our method, a spanning tree constraint ensures that activity patterns have spatiotemporal continuity. An efficient algorithm based on an alternating convex search is presented to solve the resulting problem of the proposed model with guaranteed convergence. Comprehensive numerical studies using synthetic data on a realistic brain model are conducted under different levels of signal-to-noise ratio (SNR) from both sensor and source spaces. We also examine the EEG/MEG datasets in two real applications, in which our ESI reconstructions are neurologically plausible. All the results demonstrate significant improvements of the proposed method over benchmark methods in terms of source localization performance, especially at high noise levels.  © 1982-2012 IEEE.</t>
  </si>
  <si>
    <t>This paper proposes a framework for learning timevarying graphs with multiple temporal resolutions from multivariate time series signals. Our method estimates multiresolution graphs by a top-down approach: Graphs are learned from a segment of the time-series data corresponding to the desired temporal resolution, and we impose a constraint so that the learned graphs at the target temporal resolution are close to that in the lower temporal resolution. The proposed approach overcomes the problem of existing time-varying graph learning methods that must infer graphs in a single temporal resolution. Experimental results with synthetic data demonstrate that our method outperforms a baseline graph learning method.  © 2020 APSIPA.</t>
  </si>
  <si>
    <t>Operating power systems with large amounts of renewables requires predicting future photovoltaic (PV) production with fine temporal and spatial resolution. State-of-the-art techniques combine numerical weather predictions with statistical post-processing, but their resolution is too coarse for applications such as local congestion management. In this paper we introduce computing methods for multi-site PV forecasting, which exploit the intuition that PV systems provide a dense network of simple weather stations. These methods rely entirely on production data and address the real-life challenges that come with them, such as noise and gaps. Our approach builds on graph signal processing for signal reconstruction and for forecasting with a linear, spatio-temporal autoregressive (ST-AR) model. It also introduces a data-driven clear-sky production estimation for normalization. The proposed framework was evaluated over one year on both 303 real PV systems under commercial monitoring across Switzerland, and 1000 simulated ones based on high-resolution weather data. The results demonstrate the performance and robustness of the approach: with gaps of four hours on average in the input data, the average daytime NRMSE over a six-hour forecasting horizon (in 15 min steps) and over all systems is 13.8% and 9% for the real and synthetic data sets, respectively. © 2020 by the authors. Licensee MDPI, Basel, Switzerland.</t>
  </si>
  <si>
    <t>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 © 2020 International Society for Photogrammetry and Remote Sensing, Inc. (ISPRS)</t>
  </si>
  <si>
    <t>Causality graphs are routinely estimated in social sciences, natural sciences, and engineering due to their capacity to efficiently represent the spatiotemporal structure of multi-variate data sets in a format amenable for human interpretation, forecasting, and anomaly detection. A popular approach to mathematically formalize causality is based on vector autoregressive (VAR) models and constitutes an alternative to the well-known, yet usually intractable, Granger causality. Relying on such a VAR causality notion, this paper develops two algorithms with complementary benefits to track time-varying causality graphs in an online fashion. Their constant complexity per update also renders these algorithms appealing for big-data scenarios. Despite using data sequentially, both algorithms are shown to asymptotically attain the same average performance as a batch estimator which uses the entire data set at once. To this end, sublinear (static) regret bounds are established. Performance is also characterized in time-varying setups by means of dynamic regret analysis. Numerical results with real and synthetic data further support the merits of the proposed algorithms in static and dynamic scenarios.  © 1991-2012 IEEE.</t>
  </si>
  <si>
    <t>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 © 2021 ACM.</t>
  </si>
  <si>
    <t>Indoor shortest path query (ISPQ) is of fundamental importance for indoor location-based services (LBS). However, existing ISPQs ignore indoor temporal variations, e.g., the open and close times associated with entities like doors and rooms. In this paper, we define a new type of query called Indoor Temporal-variation aware Shortest Path Query (ITSPQ). It returns the valid shortest path based on the up-to-date indoor topology at the query time. A set of techniques is designed to answer ITSPQ efficiently. We design a graph structure (IT-Graph) that captures indoor temporal variations. To process ITSPQ using IT-Graph, we design two algorithms that check a door's accessibility synchronously and asynchronously, respectively. We experimentally evaluate the proposed techniques using synthetic data. The results show that our methods are efficient. © 2020 IEEE.</t>
  </si>
  <si>
    <t xml:space="preserve">                             The proceedings contain 57 papers. The special focus in this conference is on Soft Computing Models in Industrial and Environmental Applications. The topics include: Framework for the Detection of Physiological Parameters with Musical Stimuli Based on IoT; edge Computing Architectures in Industry 4.0: A General Survey and Comparison; predictive Maintenance from Event Logs Using Wavelet-Based Features: An Industrial Application; building Robust Prediction Models for Defective Sensor Data Using Artificial Neural Networks; ensemble Deep Learning for Forecasting                              222                             Rn Radiation Level at Canfranc Underground Laboratory; search of Extreme Episodes in Urban Ozone Maps; a Novel Heuristic Approach for the Simultaneous Selection of the Optimal Clustering Method and Its Internal Parameters for Time Series Data; A Hybrid Approach for Short-Term NO                             2                              Forecasting: Case Study of Bay of Algeciras (Spain); context-Aware Data Mining vs Classical Data Mining: Case Study on Predicting Soil Moisture; analysis and Application of Normalization Methods with Supervised Feature Weighting to Improve K-means Accuracy; DTW as Alignment Function in the Context of Time Series Balancing; feature Clustering to Improve Fall Detection: A Preliminary Study; creation of Synthetic Data with Conditional Generative Adversarial Networks; data Selection to Improve Anomaly Detection in a Component-Based Robot; Addressing Low Dimensionality Feature Subset Selection: ReliefF(-k) or Extended Correlation-Based Feature Selection(eCFS)?; a Predictive Maintenance Model Using Recurrent Neural Networks; prototypical Metric Transfer Learning for Continuous Speech Keyword Spotting with Limited Training Data; characteristic of WiFi Network Based on Space Model with Using Turning Bands Co-simulation Method; Mobile Architecture for Forest Fire Simulation Using PhyFire-HDWind Model.                         </t>
  </si>
  <si>
    <t>The proceedings contain 34 papers. The special focus in this conference is on Intelligent Data Engineering and Automated Learning. The topics include: Network Analysis for Fraud Detection in Portuguese Public Procurement; biased Language Detection in Court Decisions; a One-by-One Method for Community Detection in Attributed Networks; data Pre-processing and Data Generation in the Student Flow Case Study; a Hybrid Approach to the Analysis of a Collection of Research Papers; Sequential Self-tuning Clustering for Automatic Delimitation of Coastal Upwelling on SST Images; time Series Clustering for Knowledge Discovery on Metal Additive Manufacturing; quaternion Neural Networks: State-of-the-Art and Research Challenges; a Solar Thermal System Temperature Prediction of a Smart Building for Data Recovery and Security Purposes; a Fault Detection System for Power Cells During Capacity Confirmation Test Through a Global One-Class Classifier; a Deep Metric Neural Network with Disentangled Representation for Detecting Smartphone Glass Defects; improving Performance of Recommendation System Architecture; automated Learning of In-vehicle Noise Representation with Triplet-Loss Embedded Convolutional Beamforming Network; Sequence Mining for Automatic Generation of Software Tests from GUI Event Traces; enhanced Credit Prediction Using Artificial Data; deep Learning Based Algorithms for Welding Edge Points Detection; detecting Performance Anomalies in the Multi-component Software a Collaborative Robot; prediction of Small-Wind Turbine Performance from Time Series Modelling Using Intelligent Techniques; review of Trends in Automatic Human Activity Recognition Using Synthetic Audio-Visual Data; atmospheric Tomography Using Convolutional Neural Networks; workshop on Machine Learning in Smart Mobility; Driver Monitoring System Based on CNN Models: An Approach for Attention Level Detection; preface.</t>
  </si>
  <si>
    <t>We present a new sampling scheme for seismic network observations and seismic exploration data acquisition based on compressive sensing theory. According to this theory, seismic data can be recovered with a compressive sampling scheme, using fewer samples than in traditional methods, provided that two prerequisites are met. The first prerequisite is sparse representation of the data in a transform domain. We use a one-dimensional wavelet transform to sparsely express the waveform data of the seismic network. For seismic exploration data, we use a curvelet transform as the sparse transform. The second prerequisite is incoherence between the sampling method and sparse transform. To enhance the incoherence, we propose a random sampling scheme for network and exploration observations, as random sampling is incoherent to most data transforms. In particular, we propose temporal random sampling for seismic network data observation and a full random sampling scheme in time and space for seismic exploration data. Compared with random sampling in spatial dimensions only, full random sampling further enhances incoherence because it adds the temporal dimension for randomization. Finally, seismic data are recovered from the compressive sampling data by calculating a sparsity-promoting algorithm in the sparse transform domain. We perform a real data test and synthetic data tests to illustrate that the proposed method can be used stably to achieve compressive sampling and successful recovery of high-resolution seismic waveform data. The results show that good sparse representation of the data and high incoherence between the sampling scheme and the data are important for successful recovery. © 2019, Springer Nature Switzerland AG.</t>
  </si>
  <si>
    <t>Traditional process mining approaches learn process models assuming that processes are in steady-state. This does not comply with the flexibility and adaptation often requested for information systems and business models. In fact, these approaches should discover variations to adapt to new circumstances, which is a peculiarity that conventional change analysis based on time-series, could not provide, because the processes are complex artifacts. This problem can be handled with change-aware structured representations, such as those typically used for network data. In this paper, we propose a novel pattern-based change detection (PBCD) algorithm for discovering and characterizing changes in event logs encoded as dynamic networks. In particular, PBCDs are unsupervised change detection methods, based on observed changes in sets of patterns observed over time, which are able to simultaneously detect and characterize changes in evolving data. Experimental results, on both real and synthetic data, show the usefulness and the increased accuracy with respect to state-of-the-art solutions. © 2020, Springer Nature Switzerland AG.</t>
  </si>
  <si>
    <t>This paper compares three different word image representations as base for label free sample selection for word spotting in historical handwritten documents. These representations are a temporal pyramid representation based on pixel counts, a graph based representation, and a pyramidal histogram of characters (PHOC) representation predicted by a PHOCNet trained on synthetic data. We show that the PHOC representation can help to reduce the amount of required training samples by up to 69% depending on the dataset, if it is learned iteratively in an active learning like fashion. While this works for larger datasets containing about 1,700 images, for smaller datasets with 100 images, we find that the temporal pyramid and the graph representation perform better. © Springer Nature Switzerland AG 2020.</t>
  </si>
  <si>
    <t>Graphical models allow to describe the interplay among variables of a system through a compact representation, suitable when relations evolve over time. For example, in a biological setting, genes interact differently depending on external environmental or metabolic factors. To incorporate this dynamics a viable strategy is to estimate a sequence of temporally related graphs assuming similarity among samples in different time points. While adjacent time points may direct the analysis towards a robust estimate of the underlying graph, the resulting model will not incorporate long-term or recurrent temporal relationships. In this work we propose a dynamical network inference model that leverages on kernels to consider general temporal patterns (such as circadian rhythms or seasonality). We show how our approach may also be exploited when the recurrent patterns are unknown, by coupling the network inference with a clustering procedure that detects possibly non-consecutive similar networks. Such clusters are then used to build similarity kernels. The convexity of the functional is determined by whether we impose or infer the kernel. In the first case, the optimisation algorithm exploits efficiently proximity operators with closed-form solutions. In the other case, we resort to an alternating minimisation procedure which jointly learns the temporal kernel and the underlying network. Extensive analysis on synthetic data shows the efficacy of our models compared to state-of-the-art methods. Finally, we applied our approach on two real-world applications to show how considering long-term patterns is fundamental to have insights on the behaviour of a complex system. © 2020 IEEE</t>
  </si>
  <si>
    <t>We introduce a fast algorithm for parameter estimation in multidimensional Hawkes processes, a widely used class of temporal point processes for mutually exciting discrete event data.Our approach assumes a low-rank structure on the infectivity parameter of the multidimensional Hawkes process, and relies on a method of moments estimator.Notably, it requires only a single scan of the data, and consistently recovers an accurate representation of the underlying graph structure, while sidestepping numerical stability issues inherent in Hawkes process estimation. Finally, we make connections between our method and spectral clustering, and observe that our contributions result in natural methods for clustering temporal point processes. Our algorithm can be used for community detection and graph cluster discovery in large networks of asynchronous event streams such as high-dimensional neural spike trains, log streams of large computer networks, or highfrequency financial data. We present favorable empirical results on synthetic data, and an application to clustering currency pairs via high-frequency price jumps.  © 2020 IEEE.</t>
  </si>
  <si>
    <t>Graph pattern matching, one of the most fundamental graph problems, has been extensively investigated in the literature. Nonetheless, existing efforts mostly focus on general graphs without time information, few studies concentrate on temporal graphs, where a relationship between two vertices takes place at a specific moment and lingers for some time. Moreover, real-world temporal networks become increasingly large, and are usually distributed over multiple machines. These foster the need for evaluating pattern matching on distributed temporal graphs. In this paper, we propose a new notion so-called time-respecting flow graph, in which all paths spreading from one vertex to another are time-respecting (i.e., a series of contacts with non-decreasing time), and one vertex is distinguished as the root from which other vertices can be reached via a time-respecting path. Based on this, we explore the problem of distributed time-respecting flow graph pattern matching on temporal graphs, which could be applied in many fields such as epidemiology, social media, national security, communication, to name just a few. We present a distributed baseline algorithm based on GraphX as well as an optimized algorithm that utilizes the properties of time-respecting flow graph and the analyses of distributed algorithms to boost efficiency. Extensive experimental evaluation using both real and synthetic data sets demonstrates the efficiency and scalability of our proposed algorithms. © 2019, Springer Science+Business Media, LLC, part of Springer Nature.</t>
  </si>
  <si>
    <t>Very high requirement of co-registration accuracy better than 0.001 pixels for Sentinel-1 TOPS (Terrain Observation by Progressive Scan) mode presents a great challenge for application of SAR (synthetic aperture radar) interferometry in Earth Observation. The state-of-the-art techniques have demonstrated that the low coherence scenarios and abrupt loss of coherence between two arbitrary acquisitions are main sources of error to degrade the performance of TOPS time-series co-registration. In this paper, we present a modification to overcome both limitations through the coherence enhancement. The motive behind this is to improve the quality of observations before co-registration and meanwhile avoiding the coherence loss caused by fast decorrelation. To this end, principal components analysis based spatio-temporal filtering is first used to remove the artifacts in burst interferograms over strong noise areas. Rather than heuristically choosing a sub-set of interferograms as a small baseline technique does, we use Dijkstra's shortest path algorithm under graph theory framework to maximize the coherence of a sub-set interferograms. The performance of presented method against the state-of-the-art techniques is fully evaluated by synthetic data and a Sentinel-1A stack over a low coherence scene in Indonesia. Comprehensive comparisons demonstrate 9%-17% uncertainty reduction of time-series co-registration when applying our method. © 2008-2012 IEEE.</t>
  </si>
  <si>
    <t>Sparsely available data points cause numerical error on finite differences which hinders us from modeling the dynamics of physical systems. The discretization error becomes even larger when the sparse data are irregularly distributed or defined on an unstructured grid, making it hard to build deep learning models to handle physics-governing observations on the unstructured grid. In this paper, we propose a novel architecture, Physics-aware Difference Graph Networks (PA-DGN), which exploits neighboring information to learn finite differences inspired by physics equations. PA-DGN leverages data-driven end-to-end learning to discover underlying dynamical relations between the spatial and temporal differences in given sequential observations. We demonstrate the superiority of PA-DGN in the approximation of directional derivatives and the prediction of graph signals on the synthetic data and the real-world climate observations from weather stations. © 2020 8th International Conference on Learning Representations, ICLR 2020. All rights reserved.</t>
  </si>
  <si>
    <t>Dynamic graphs; Evaluation framework; Synthetic data generation</t>
  </si>
  <si>
    <t>Causal Discovery; Constraint-based Causal Discovery; Discrete Time Series; DYNOTEARS; Gradient-Based Causal Discovery; Graphical Models; Standardized Electronic Health Records; Structural Equation Models; Synthetic Data Generation; Temporal Association Rule Mining (TARM)</t>
  </si>
  <si>
    <t>Diffusion models; ML classification; Network traffic generation; Synthetic data generation</t>
  </si>
  <si>
    <t>Data pipeline; Decision support tools; Machine learning; Model testing and validation; Neural networks; Reef modelling; Synthetic data; Synthetic data vault</t>
  </si>
  <si>
    <t>block-sparsity; multi-frequency; nonconvex optimization; Partial correlation graph</t>
  </si>
  <si>
    <t>Biological system modeling; Data model; Data models; Epidemiology; Hospitals; Knowledge graph; Layout; Resource description framework; Spatial modelling; Spatiotemporal phenomena; Temporal modelling; Unified modeling language</t>
  </si>
  <si>
    <t>Constellation; Mapping; Mixture distribution; Relevance; Stochastic embedding</t>
  </si>
  <si>
    <t>attention mechanisms; collaborative learning; deep learning; graph neural networks; synthetic data</t>
  </si>
  <si>
    <t>Computational seismology; Graph; Persistence, memory, correlations, clustering; Phase delay detection; Seismic noise; Time-series analysis</t>
  </si>
  <si>
    <t>Anomaly detection; deep representation; ensemble learning; isolation forest</t>
  </si>
  <si>
    <t>Causal effect; Gaussian processes; interaction; joint causality; nonlinear systems</t>
  </si>
  <si>
    <t>Brain Connectome Analysis; Neuroimaging Studies; Synthetic Data Generation</t>
  </si>
  <si>
    <t>Business Process Management; DFA; Graph Automata; Synthetic Data Generator</t>
  </si>
  <si>
    <t>Graph; Human epidemiology; Network; Spatial modelling; Systematic review; Temporal modelling</t>
  </si>
  <si>
    <t>Query rewriting; Semantic Web; SPARQL; Static data; Time-series database</t>
  </si>
  <si>
    <t>preprocessing; Synthetic data; TimeGAN</t>
  </si>
  <si>
    <t>Graph representation; recurrent neural network (RNN); stochastic processes; temporal point processes (TPPs)</t>
  </si>
  <si>
    <t>causal effect estimation; graph neighborhood pooling; relational time-series causal inference</t>
  </si>
  <si>
    <t>anomalies; change point detection; data quality; time series</t>
  </si>
  <si>
    <t>Bootstrap; Contraction; Hypothesis testing; Identification; Increasing dimension; Multivariate time series; Network analysis; Nonlinear autoregression; Nuisance parameter; Quasi-likelihood; Score test</t>
  </si>
  <si>
    <t>Graphical models; inverse spectral density matrices; simulated annealing; structural changes; variational inference</t>
  </si>
  <si>
    <t>Data Augmentation; Energy Markets; European Carbon Emissions Allowances; GAN; Machine Learning; Time Series</t>
  </si>
  <si>
    <t>ARCH; EGARCH; GARCH; GJR-GARCH; Graph signal processing; laplacian matrix; multivariate GARCH; multivariate time series forecasting; O-GARCH</t>
  </si>
  <si>
    <t>nonlinear topology identification; Online graph learning; random Fourier features; regret analysis</t>
  </si>
  <si>
    <t>Conceptual Neighborhood; Knowledge Discovery; Machine Learning; Qualitative Spatial Reasoning; Qualitative Temporal Reasoning</t>
  </si>
  <si>
    <t>anomaly detection; graph neural network; machine learning; time series</t>
  </si>
  <si>
    <t>computer security; data science; deep learning; machine learning; network traffic data; representation learning; synthetic data generation</t>
  </si>
  <si>
    <t>ADAS; Autonomous vehicles (AVs); Collision prediction; Graph learning; Scene graph</t>
  </si>
  <si>
    <t>EEG; Horizontal visibility graph; Multiscale cross-sample entropy; Multiscale sample entropy</t>
  </si>
  <si>
    <t>computational biology; epidemic modelling; network dynamics; random graphs, networks</t>
  </si>
  <si>
    <t>Core number maintenance; Dense subgraph; Dynamic graph; Graph analytics</t>
  </si>
  <si>
    <t>characters; modeling; plot; scenes; temporal graphs</t>
  </si>
  <si>
    <t>Asynchronous Boolean networks (BNs); cooperative coevolution (CC); gene regulatory networks (GRNs); genetic programming (GP); single-cell data</t>
  </si>
  <si>
    <t>Generative adversarial network; Multi-graph convolutional network; Synthetic data; Traffic volume forecasting; Traffic volume, speed, and occupancy</t>
  </si>
  <si>
    <t>Contrastive learning; dynamic graphs; representation learning; time series</t>
  </si>
  <si>
    <t>calcium imaging; Dictionary learning; re-weighted-1; sparse coding; two-photon microscopy</t>
  </si>
  <si>
    <t>Channel augmentation; Differential invariant features; Generalization ability; Motion analysis; Skeleton-based action recognition; Spatio-temporal dual affine transformation</t>
  </si>
  <si>
    <t>Causal graph extraction; Digital text media; Information extraction from news; Time-series causality learning; Variable extraction</t>
  </si>
  <si>
    <t>DoppleGANger; forecast analysis; GAN; Machine learning; PAR; time series; TimeGAN</t>
  </si>
  <si>
    <t>All-pairs-shortest-path (APSP); F-test; graph theory; hypothesis test; SAR interferometry (InSAR); tropospheric noise removal</t>
  </si>
  <si>
    <t>Demand forecasting; Order matching; Ride-hailing; Value function; Vehicle repositioning</t>
  </si>
  <si>
    <t>Causality; Graph connected time series; Kernels; Non-linear topology identification</t>
  </si>
  <si>
    <t>graph attention network; reinforcement learning; spatialoral modeling; temporal convolutional network; traffic signal control</t>
  </si>
  <si>
    <t>algorithm; graph mining; pattern matching; Temporal graph</t>
  </si>
  <si>
    <t>Causal Graph; Granger Causality Models; Microservice based application</t>
  </si>
  <si>
    <t>Causality; Directed graphs; Kernels; Nonlinear topology identification; Random feature approximation</t>
  </si>
  <si>
    <t>AutoML; autonomous empirical research; computation graph; continuous relaxation; DARTS; NAS</t>
  </si>
  <si>
    <t>Graph inference; graph learning; temporal multiresolution graph; time-varying graph</t>
  </si>
  <si>
    <t>Hyperbolic; Perceptron; Support Vector Machine</t>
  </si>
  <si>
    <t>EEG/MEG source imaging; graph structure learning; inverse problem; source localization</t>
  </si>
  <si>
    <t>Graph learning; multiresolution graph; network topology inference; time-varying graph.</t>
  </si>
  <si>
    <t>Graph signal processing; Multi-site photovoltaic forecasting; Signal reconstruction; Spatio-temporal correlation</t>
  </si>
  <si>
    <t>Built-up land change; Coefficient of variation; Markov random field; Synthetic aperture radar; Time series</t>
  </si>
  <si>
    <t>Online convex optimization time varying models; regret analysis; sparse topology inference</t>
  </si>
  <si>
    <t>data management; temporal queries; video queries</t>
  </si>
  <si>
    <t>Compressive sensing; Random sampling; Seismic data compression; Seismic observation; Sparse representation</t>
  </si>
  <si>
    <t>Active learning; Graph representation; PHOCNet; Sample selection; Word spotting</t>
  </si>
  <si>
    <t>Clustering; Hawkes processes; Temporal point processes</t>
  </si>
  <si>
    <t>Algorithm; Distributed processing; Graph pattern matching; Temporal graph</t>
  </si>
  <si>
    <t>Coherence; coregistration; Sentinel-1; synthetic aperture radar (SAR); terrain observation by progressive scan (TOPS)</t>
  </si>
  <si>
    <t>Total</t>
  </si>
  <si>
    <t>Unique</t>
  </si>
  <si>
    <t>ACM_1</t>
  </si>
  <si>
    <t>ACM_2</t>
  </si>
  <si>
    <t>ACM_3</t>
  </si>
  <si>
    <t>ACM_4</t>
  </si>
  <si>
    <t>ACM_5</t>
  </si>
  <si>
    <t>IEEE_1</t>
  </si>
  <si>
    <t>IEEE_2</t>
  </si>
  <si>
    <t>IEEE_4</t>
  </si>
  <si>
    <t>IEEE_5</t>
  </si>
  <si>
    <t>IEEE_6</t>
  </si>
  <si>
    <t>IEEE_7</t>
  </si>
  <si>
    <t>IEEE_8</t>
  </si>
  <si>
    <t>IEEE_9</t>
  </si>
  <si>
    <t>IEEE_11</t>
  </si>
  <si>
    <t>IEEE_12</t>
  </si>
  <si>
    <t>IEEE_13</t>
  </si>
  <si>
    <t>IEEE_14</t>
  </si>
  <si>
    <t>IEEE_15</t>
  </si>
  <si>
    <t>IEEE_16</t>
  </si>
  <si>
    <t>IEEE_17</t>
  </si>
  <si>
    <t>IEEE_18</t>
  </si>
  <si>
    <t>IEEE_19</t>
  </si>
  <si>
    <t>IEEE_20</t>
  </si>
  <si>
    <t>IEEE_21</t>
  </si>
  <si>
    <t>IEEE_22</t>
  </si>
  <si>
    <t>IEEE_23</t>
  </si>
  <si>
    <t>IEEE_24</t>
  </si>
  <si>
    <t>IEEE_25</t>
  </si>
  <si>
    <t>IEEE_26</t>
  </si>
  <si>
    <t>IEEE_27</t>
  </si>
  <si>
    <t>IEEE_28</t>
  </si>
  <si>
    <t>Scopus_1</t>
  </si>
  <si>
    <t>Scopus_2</t>
  </si>
  <si>
    <t>Scopus_3</t>
  </si>
  <si>
    <t>Scopus_6</t>
  </si>
  <si>
    <t>Scopus_10</t>
  </si>
  <si>
    <t>Scopus_12</t>
  </si>
  <si>
    <t>Scopus_14</t>
  </si>
  <si>
    <t>Scopus_15</t>
  </si>
  <si>
    <t>Scopus_16</t>
  </si>
  <si>
    <t>Scopus_17</t>
  </si>
  <si>
    <t>Scopus_18</t>
  </si>
  <si>
    <t>Scopus_19</t>
  </si>
  <si>
    <t>Scopus_23</t>
  </si>
  <si>
    <t>Scopus_24</t>
  </si>
  <si>
    <t>Scopus_27</t>
  </si>
  <si>
    <t>Scopus_30</t>
  </si>
  <si>
    <t>Scopus_31</t>
  </si>
  <si>
    <t>Scopus_34</t>
  </si>
  <si>
    <t>Scopus_37</t>
  </si>
  <si>
    <t>Scopus_42</t>
  </si>
  <si>
    <t>Scopus_44</t>
  </si>
  <si>
    <t>Scopus_48</t>
  </si>
  <si>
    <t>Scopus_49</t>
  </si>
  <si>
    <t>Scopus_50</t>
  </si>
  <si>
    <t>Scopus_52</t>
  </si>
  <si>
    <t>Scopus_57</t>
  </si>
  <si>
    <t>Scopus_58</t>
  </si>
  <si>
    <t>Scopus_60</t>
  </si>
  <si>
    <t>Scopus_62</t>
  </si>
  <si>
    <t>Scopus_64</t>
  </si>
  <si>
    <t>Scopus_65</t>
  </si>
  <si>
    <t>Scopus_68</t>
  </si>
  <si>
    <t>Scopus_71</t>
  </si>
  <si>
    <t>Scopus_76</t>
  </si>
  <si>
    <t>Scopus_77</t>
  </si>
  <si>
    <t>Scopus_78</t>
  </si>
  <si>
    <t>Scopus_81</t>
  </si>
  <si>
    <t>Scopus_82</t>
  </si>
  <si>
    <t>Scopus_86</t>
  </si>
  <si>
    <t>Scopus_89</t>
  </si>
  <si>
    <t>Scopus_90</t>
  </si>
  <si>
    <t>Scopus_93</t>
  </si>
  <si>
    <t>K. Yamada; Y. Tanaka</t>
  </si>
  <si>
    <t>R. Rossi; S. Sarkhel; N. Ahmed</t>
  </si>
  <si>
    <t>Z. -F. Ma; S. -J. Wei; Y. Aoki; J. -H. Liu; T. Huang</t>
  </si>
  <si>
    <t>Y. Zhang; F. Regol; A. Valkanas; M. Coates</t>
  </si>
  <si>
    <t>X. Tian; Z. -F. Ma; M. Jiang</t>
  </si>
  <si>
    <t>Z. Zhang; L. Meng; Y. Gu</t>
  </si>
  <si>
    <t>M. Zhao; O. Fink</t>
  </si>
  <si>
    <t>T. Liu; Z. Feng; H. Li; H. Lu; M. A. Cheema; H. Cheng; J. Xu</t>
  </si>
  <si>
    <t>Q. Wang; L. Shwartz; G. Y. Grabarnik; V. Arya; K. Shanmugam</t>
  </si>
  <si>
    <t>E. Offord; J. Lutton; T. Bretschneider</t>
  </si>
  <si>
    <t>F. Tomasi; V. Tozzo; A. Barla</t>
  </si>
  <si>
    <t>R. Money; J. Krishnan; B. Beferull-Lozano</t>
  </si>
  <si>
    <t>R. T. Money; J. P. Krishnan; B. Beferull-Lozano</t>
  </si>
  <si>
    <t>G. D’Acunto; P. Di Lorenzo; F. Bonchi; S. Sardellitti; S. Barbarossa</t>
  </si>
  <si>
    <t>H. Yu; S. Wu; J. Dauwels</t>
  </si>
  <si>
    <t>W. Wu; H. Liu; X. Zhang; Y. Liu; H. Zha</t>
  </si>
  <si>
    <t>A. S. Charles; N. Cermak; R. O. Affan; B. B. Scott; J. Schiller; G. Mishne</t>
  </si>
  <si>
    <t>A. C. Türkmen; G. Çapan; A. T. Cemgil</t>
  </si>
  <si>
    <t>L. Zheng; H. Rao; S. Pu; W. Jiang; Y. Hao; W. Li; J. Shao; B. Su; S. Wang; W. Zhao; Y. Xie; W. Zhang</t>
  </si>
  <si>
    <t>S. Gao; C. Sun; C. Xiang; K. Qin; T. H. Lee</t>
  </si>
  <si>
    <t>J. Hong; Y. Yan; E. E. Kuruoglu; W. K. Chan</t>
  </si>
  <si>
    <t>F. Liu; L. Wang; Y. Lou; R. -C. Li; P. L. Purdon</t>
  </si>
  <si>
    <t>D. Yu; N. Wang; Q. Luo; F. Li; J. Yu; X. Cheng; Z. Cai</t>
  </si>
  <si>
    <t>Y. Gao; T. Zhang; L. Qiu; Q. Linghu; G. Chen</t>
  </si>
  <si>
    <t>L. Pujante-Otalora; M. Campos; J. M. Juarez; B. Canovas-Segura</t>
  </si>
  <si>
    <t>F. Xu; L. Chaudhary; L. Dong; S. Setlur; V. Govindaraju; I. Nwogu</t>
  </si>
  <si>
    <t>Lee J.; Hussain S.; Warnick R.; Vannucci M.; Menchaca I.; Seitz A.R.; Hu X.; Peters M.A.K.; Guindani M.</t>
  </si>
  <si>
    <t>Zhao M.; Fink O.</t>
  </si>
  <si>
    <t>Kirkley A.</t>
  </si>
  <si>
    <t>Zhang Z.; Meng L.; Gu Y.</t>
  </si>
  <si>
    <t>Souid H.E.; Ody L.; Achenchabe Y.; Lemaire V.; Aversano G.; Skhiri S.</t>
  </si>
  <si>
    <t>Schulz N.A.; Carus J.; Wiederhold A.J.; Johanns O.; Peters F.; Rath N.; Rausch K.; Holleczek B.; Katalinic A.; Nennecke A.; Kusche H.; Heinrichs V.; Eberle A.; Luttmann S.; Abnaof K.; Kim-Wanner S.-Z.; Handels H.; Germer S.; Halber M.; Richter M.; Pinnau M.; Reiner D.; Schaaf J.; Storf H.; Hartz T.; Goeken N.; Bösche J.; Stein A.; Weitmann K.; Hoffmann W.; Labohm L.; Rudolph C.; Gundler C.; Ückert F.</t>
  </si>
  <si>
    <t>Sivaroopan N.; Bandara D.; Madarasingha C.; Jourjon G.; Jayasumana A.P.; Thilakarathna K.</t>
  </si>
  <si>
    <t>Crocker R.; Robson B.J.; Ani C.; Anthony K.; Iwanaga T.</t>
  </si>
  <si>
    <t>D'Acunto G.; Di Lorenzo P.; Bonchi F.; Sardellitti S.; Barbarossa S.</t>
  </si>
  <si>
    <t>Pujante-Otalora L.; Campos M.; Juarez J.M.; Canovas-Segura B.</t>
  </si>
  <si>
    <t>Qin Z.; Zhang P.; Ma Z.</t>
  </si>
  <si>
    <t>Xu F.; Chaudhary L.; Dong L.; Setlur S.; Govindaraju V.; Nwogu I.</t>
  </si>
  <si>
    <t>Offord E.; Lutton J.; Bretschneider T.</t>
  </si>
  <si>
    <t>Sugiura T.; Murata N.</t>
  </si>
  <si>
    <t>Pavlyuk D.; Perevozcikova J.</t>
  </si>
  <si>
    <t>Lecointre A.; Roux P.; Bouttier P.-A.; Picard C.; Louvet V.</t>
  </si>
  <si>
    <t>Xu H.; Pang G.; Wang Y.; Wang Y.</t>
  </si>
  <si>
    <t>Butler K.; Feng G.; Djuric P.M.</t>
  </si>
  <si>
    <t>Li A.; Yang Y.; Cui H.; Yang C.</t>
  </si>
  <si>
    <t>Bergami G.</t>
  </si>
  <si>
    <t>Pujante-Otalora L.; Canovas-Segura B.; Campos M.; Juarez J.M.</t>
  </si>
  <si>
    <t>Bakken M.; Soylu A.</t>
  </si>
  <si>
    <t>Li H.; Yu S.; Principe J.</t>
  </si>
  <si>
    <t>Zheng L.; Rao H.; Pu S.; Jiang W.; Hao Y.; Li W.; Shao J.; Su B.; Wang S.; Zhao W.; Xie Y.; Zhang W.</t>
  </si>
  <si>
    <t>Li J.; Scholl L.; Le T.; Rajeswaran P.; Orsborn A.; Shlizerman E.</t>
  </si>
  <si>
    <t>Seol S.; Kim B.</t>
  </si>
  <si>
    <t>Wu W.; Liu H.; Zhang X.; Liu Y.; Zha H.</t>
  </si>
  <si>
    <t>Rossi R.; Sarkhel S.; Ahmed N.</t>
  </si>
  <si>
    <t>Quan T.P.; Lacey B.; Peto T.E.A.; Walker A.S.</t>
  </si>
  <si>
    <t>Armillotta M.; Fokianos K.; Krikidis I.</t>
  </si>
  <si>
    <t>Phuong Quan T.; Lacey B.; Peto T.E.A.; Sarah Walker A.</t>
  </si>
  <si>
    <t>Yu H.; Wu S.; Dauwels J.</t>
  </si>
  <si>
    <t>Rohekar R.Y.; Nisimov S.; Gurwicz Y.; Novik G.</t>
  </si>
  <si>
    <t>Bellomo M.; Trimarchi S.; Niccolai A.; Lorenzo M.; Casamatta F.; Grimaccia F.</t>
  </si>
  <si>
    <t>Hong J.; Yan Y.; Kuruoglu E.E.; Chan W.K.</t>
  </si>
  <si>
    <t>Money R.T.; Krishnan J.P.; Beferull-Lozano B.</t>
  </si>
  <si>
    <t>Cai L.; Janowicz K.; Zhu R.</t>
  </si>
  <si>
    <t>Yang G.; Kulkarni N.; Dua P.; Khullar D.; Chirayath A.A.</t>
  </si>
  <si>
    <t>Marwah M.; Arlitt M.</t>
  </si>
  <si>
    <t>Malawade A.V.; Yu S.-Y.; Hsu B.; Muthirayan D.; Khargonekar P.P.; Faruque M.A.A.</t>
  </si>
  <si>
    <t>Ademovic Tahirovic A.; Angeli D.; Strbac G.</t>
  </si>
  <si>
    <t>Lin G.; Lin A.</t>
  </si>
  <si>
    <t>Barros de Souza D.; Figueirôa dos Santos E.; Santos F.A.N.</t>
  </si>
  <si>
    <t>Zhou Y.; Xu K.; He F.</t>
  </si>
  <si>
    <t>Yu D.; Wang N.; Luo Q.; Li F.; Yu J.; Cheng X.; Cai Z.</t>
  </si>
  <si>
    <t>Clarkson J.; Cucuringu M.; Elliott A.; Reinert G.</t>
  </si>
  <si>
    <t>Konle L.; Jannidis F.</t>
  </si>
  <si>
    <t>Gao S.; Sun C.; Xiang C.; Qin K.; Lee T.H.</t>
  </si>
  <si>
    <t>Zhu K.; Zhang S.; Li J.; Zhou D.; Dai H.; Hu Z.</t>
  </si>
  <si>
    <t>Zhang Y.; Regol F.; Valkanas A.; Coates M.</t>
  </si>
  <si>
    <t>Charles A.S.; Cermak N.; Affan R.O.; Scott B.B.; Schiller J.; Mishne G.</t>
  </si>
  <si>
    <t>Li Q.; Mo H.; Zhao J.; Hao H.; Li H.</t>
  </si>
  <si>
    <t>Maisonnave M.; Delbianco F.; Tohme F.; Milios E.; Maguitman A.G.</t>
  </si>
  <si>
    <t>Naveed M.H.; Hashmi U.S.; Tajved N.; Sultan N.; Imran A.</t>
  </si>
  <si>
    <t>Ma Z.-F.; Wei S.-J.; Aoki Y.; Liu J.-H.; Huang T.</t>
  </si>
  <si>
    <t>Li S.; Zhong Z.; Shi B.</t>
  </si>
  <si>
    <t>Money R.; Krishnan J.; Beferull-Lozano B.</t>
  </si>
  <si>
    <t>Wu L.; Wang M.; Wu D.; Wu J.</t>
  </si>
  <si>
    <t>Gao Y.; Zhang T.; Qiu L.; Linghu Q.; Chen G.</t>
  </si>
  <si>
    <t>Wang Q.; Shwartz L.; Grabarnik G.Y.; Arya V.; Shanmugam K.</t>
  </si>
  <si>
    <t>Musslick S.</t>
  </si>
  <si>
    <t>Yamada K.; Tanaka Y.</t>
  </si>
  <si>
    <t>Chien E.; Pan C.; Tabaghi P.; Milenkovic O.</t>
  </si>
  <si>
    <t>Liu F.; Wang L.; Lou Y.; Li R.-C.; Purdon P.L.</t>
  </si>
  <si>
    <t>Carrillo R.E.; Leblanc M.; Schubnel B.; Langou R.; Topfel C.; Alet P.-J.</t>
  </si>
  <si>
    <t>Jiang M.; Hooper A.; Tian X.; Xu J.; Chen S.-N.; Ma Z.-F.; Cheng X.</t>
  </si>
  <si>
    <t>Zaman B.; Ramos L.M.L.; Romero D.; Beferull-Lozano B.</t>
  </si>
  <si>
    <t>Chen Y.; Yu X.; Koudas N.; Yu Z.</t>
  </si>
  <si>
    <t>Liu T.; Feng Z.; Li H.; Lu H.; Cheema M.A.; Cheng H.; Xu J.</t>
  </si>
  <si>
    <t>Bai L.; Lu H.; Liu Y.</t>
  </si>
  <si>
    <t>Impedovo A.; Mignone P.; Loglisci C.; Ceci M.</t>
  </si>
  <si>
    <t>Westphal F.; Grahn H.; Lavesson N.</t>
  </si>
  <si>
    <t>Tomasi F.; Tozzo V.; Barla A.</t>
  </si>
  <si>
    <t>Türkmen A.C.; Çapan G.; Cemgil A.T.</t>
  </si>
  <si>
    <t>Zhang T.; Gao Y.; Qiu L.; Chen L.; Linghu Q.; Pu S.</t>
  </si>
  <si>
    <t>Tian X.; Ma Z.-F.; Jiang M.</t>
  </si>
  <si>
    <t>Seo S.; Meng C.; Liu Y.</t>
  </si>
  <si>
    <t>Scopus_13</t>
  </si>
  <si>
    <t>Scopus_26</t>
  </si>
  <si>
    <t>Scopus_29</t>
  </si>
  <si>
    <t>Anomaly detection is becoming important in modern society as everything goes digital. Consumers are spending a lot more time online, and various digital sensors are placed into physical/chemical equipment for health monitoring. Such monitoring data is growing at an exponential rate, which enables automated anomaly detection in various high-impact domains. In this tutorial, we dive deep into several state-of-art methods for finding anomalies in spatiotemporal data (or more generally, correlated multivariate data), on a few specific use cases such as telecom network performance and user behavior monitoring. We identify suitable methods for specific data representation (i.e. spatial, temporal and categorical dimensionality) for specific use case, and present methods to convert raw data into the formats the existing methods require. Such survey and hands-on exercise is necessary as each use case has its own special data representation and requirements in live applications. Certain methods fit better than others for a specific data format under a specific scenario. With such investigation outlined in this tutorial, we hope attendees will be able to more efficiently choose the most appropriate method for their use case. To reach as wide an audience as possible, we investigate anomaly detection application in multiple domains: telecom network performance, user behavior monitoring, financial transactions, and industrial internet of things. The types of datasets range from univariate, multivariate time series of single or multiple entities, to transactional tabular data with timestamps or sequenced indexes. The types of anomalies in these datasets include contextual anomalies for one entity or collective anomalies aggregated among multiple entities in time series, and suspicious record or user in transactional tabular data. During this three-hour hands-on tutorial, we examine the suitability and performance of different methods for the 4 introduced use cases. The available choices of anomaly detection modeling framework ranges from sequential or time series models, to static graph neural network models and dynamic graph neural network models that learns coupled spatial, structural and temporal information. Among these models, anomaly detection is formulated as a forecast problem for some use cases in which anomaly severity is derived based on the observed value deviation from the predicted value. In other use cases, anomaly detection is solved as a classification problem (either as node, edge classification in graph, row-based classification in tabular data or sequential classification in sequence data). The tutorial combines an introduction of fundamental anomaly detection techniques with hands-on exercises. For the hands-on exercises, we focus on the time series based HTM method introduced in and graph methods introduced in. Participants learn to identify suitable methods, apply data transformation techniques to convert raw data into the formats the different methods assume, and study these methods on the aforementioned real-world or synthetic data sets.</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</si>
  <si>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t>
  </si>
  <si>
    <t>Dynamic functional connectivity investigates how the interactions among brain regions vary over the course of an fMRI experiment. Such transitions between different individual connectivity states can be modulated by changes in underlying physiological mechanisms that drive functional network dynamics, e.g., changes in attention or cognitive effort. In this paper, we develop a multi-subject Bayesian framework where the estimation of dynamic functional networks is informed by time-varying exogenous physiological covariates that are simultaneously recorded in each subject during the fMRI experiment. More specifically, we consider a dynamic Gaussian graphical model approach where a non-homogeneous hidden Markov model is employed to classify the fMRI time series into latent neurological states. We assume the state-transition probabilities to vary over time and across subjects as a function of the underlying covariates, allowing for the estimation of recurrent connectivity patterns and the sharing of networks among the subjects. We further assume sparsity in the network structures via shrinkage priors, and achieve edge selection in the estimated graph structures by introducing a multi-comparison procedure for shrinkage-based inferences with Bayesian false discovery rate control. We evaluate the performances of our method vs alternative approaches on synthetic data. We apply our modeling framework on a resting-state experiment where fMRI data have been collected concurrently with pupillometry measurements, as a proxy of cognitive processing, and assess the heterogeneity of the effects of changes in pupil dilation on the subjects’ propensity to change connectivity states. The heterogeneity of state occupancy across subjects provides an understanding of the relationship between increased pupil dilation and transitions toward different cognitive states. Copyright: © 2024 Lee et al. This is an open access article distributed under the terms of the Creative Commons Attribution License, which permits unrestricted use, distribution, and reproduction in any medium, provided the original author and source are credited.</t>
  </si>
  <si>
    <t>Synthetic data mimics the statistical properties of real-world datasets while removing reference to sensitive or confidential information in the original dataset (Quintana, 2020). Synthetic data is also useful for general model testing and development, with many methods available for generating data from machine learning models (Raghunathan, 2021). Although not widely used in the context of ecological and environmental modelling, synthetic data can support and accelerate model testing and analyses where rightsholders are sensitive to data disclosure for study areas, or data collection is expensive. In the context of reef modelling, synthetic data can be used to support model analyses that can be published without referring to specific sites, reefs, or study areas. This is desirable in the context of decision support for restoration of the Great Barrier Reef. The Reef has many stakeholders and release of early modelling results for intervention scenarios for specific areas would be premature until management or intervention strategy options have been discussed with stakeholders and/or rightsholders. Synthetic data allows a path to publish model and method demonstrations to share knowledge with the reef decision support community without prematurely suggesting policy recommendations for reefs which are sensitive to rightsholders or stakeholders. We showcase a synthetic data pipeline developed for the reef decision-support system ADRIA (Adaptive Dynamic Reef Intervention Algorithms), using methods from the Python package Synthetic Data Vault (Patki et al., 2016) and others. The synthetic data models are developed to emulate the statistics of case-study reefs for publishing decision-support tool demonstrations, testing and method validation without revealing sensitive reef site information. This pipeline includes developing models for tabular (benthic/compositional reef data), spatial-temporal (wave and heat stress data) and spatial network data (coral larval connectivity). Conditional sampling methods which connect spatial relationships across datasets are used to develop synthetic reef data packages which mimic the statistical properties of the original dataset. The utility of the synthetic data is demonstrated on a sample reef data package, and methods used for anonymizing the data are detailed. The results are discussed in the context of formalizing synthetic data for reef modelling. All synthetic data code is available at ADRIA-synthetic-data/README.md at v0.1.0 · open-AIMS/ADRIA-synthetic-data (github.com), DOI: https://doi.org/10.5281/zenodo.10158323. © 2023</t>
  </si>
  <si>
    <t>We present a phase-delay detection procedure adapted for seismic arrays composed of a large number of stations. We use graph formalism to introduce a direct method to compute station phase delays starting from inter-station phase differences deduced from noise cross-correlation functions. We focus this study on surface wave main arrival as phase-difference evaluation at each station requires high coherence level. Then, we perform numerical experiments with synthetic data computed as a realistic and dense network of 79 stations in a 400 by square box. For one of the 79 stations, we simulate a phase difference of 15 per cent of the signal period. Further, we evaluate the accuracy and precision of phase-delay estimation at each station with regard to the quality of the cross-correlation functions (i.e. the signal-to-noise ratio). When the inter-station coherence levels are larger than 0.6 (i.e. a high-quality signal), we show good agreement between the phase-delay estimation and its expected value of 15 per cent of the signal period. We introduce a coherence-weighted estimate of phase delay and show that applying this weighting allows us to be less vulnerable to phase-delay underestimation for intermediate-quality signals. Then, the method is applied to experimental data recorded by a high density nodal array with 923 vertical geophones with 19 d of continuous records, centred on the 600 by damage zone of the Clark branch of the San Jacinto Fault Zone, Southern California (USA). We verify that the San Jacinto network is well synchronized, as most of the estimated phase delays are less than 2 per cent of the central period of the signal, and they are associated with high levels of inter-station coherence. More surprisingly, the spatial features of the estimated phase delays show deterministic geographical patterns that are related to topography and that exhibit similarities with phase velocity maps at from previous 3-D velocity inversions. This suggests that the topographic effect may be accounted for to estimate accurate phase delays. Also, we note that the temporal variability of the estimated phase delays in the case of the San Jacinto data set are related to atmospheric forcing. Our direct method for estimating phase delays is applicable to structure-oriented monitoring studies, and it opens perspectives in the monitoring of seismic velocity variations. © 2023 The Author(s).</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</si>
  <si>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  © 1979-2012 IEEE.</t>
  </si>
  <si>
    <t>Epidemic outbreaks represent a significant concern for the current state of global health, particularly in Brazil, the epicentre of several vector-borne disease outbreaks and where epidemic control is still a challenge for the scientific community. Data science techniques applied to epidemics are usually made via standard statistical and modelling approaches, which do not always lead to reliable predictions, especially when the data lacks a piece of reliable surveillance information needed for precise parameter estimation. In particular, dengue outbreaks reported over the past years raise concerns for global health care, and thus novel data-driven methods are necessary to predict the emergence of outbreaks. In this work, we propose a parameter-free approach based on geometric and topological techniques, which extracts geometrical and topological invariants as opposed to statistical summaries used in established methods. Specifically, our procedure generates a time-varying network from a time-series of new epidemic cases based on synthetic time-series and real dengue data across several districts of Recife, the fourth-largest urban area in Brazil. Subsequently, we use the Euler characteristic (EC) to extract key topological invariant of the epidemic time-varying network and we finally compared the results with the effective reproduction number (R t ) for each data set. Our results unveil a strong correlation between epidemic outbreaks and the EC. In fact, sudden changes in the EC curve preceding and/or during an epidemic period emerge as a warning sign for an outbreak in the synthetic data, the EC transitions occur close to the periods of epidemic transitions, which is also corroborated. In the real dengue data, where data is intrinsically noise, the EC seems to show a better sign-to-noise ratio once compared to R t . In analogy with later studies on noisy data by using EC in positron emission tomography scans, the EC estimates the number of regions with high connectivity in the epidemic network and thus has potential to be a signature of the emergence of an epidemic state. Our results open the door to the development of alternative/complementary topological and geometrical data-driven methods to characterise vector-borne disease outbreaks, specially when the conventional epidemic surveillance methods are not effective in a scenario of extreme noise and lack of robustness in the data. © 2022 IOP Publishing Ltd and SISSA Medialab srl.</t>
  </si>
  <si>
    <t>Anomaly detection is becoming important in modern society as everything goes digital. Consumers are spending a lot more time online, and various digital sensors are placed into physical/chemical equipment for health monitoring. Such monitoring data is growing at an exponential rate, which enables automated anomaly detection in various high-impact domains. In this tutorial, we dive deep into several state-of-art methods for finding anomalies in spatiotemporal data (or more generally, correlated multivariate data), on a few specific use cases such as telecom network performance and user behavior monitoring. We identify suitable methods for specific data representation (i.e. spatial, temporal and categorical dimensionality) for specific use case, and present methods to convert raw data into the formats the existing methods require. Such survey and hands-on exercise is necessary as each use case has its own special data representation and requirements in live applications. Certain methods fit better than others for a specific data format under a specific scenario. With such investigation outlined in this tutorial, we hope attendees will be able to more efficiently choose the most appropriate method for their use case. To reach as wide an audience as possible, we investigate anomaly detection application in multiple domains: telecom network performance, user behavior monitoring, financial transactions, and industrial internet of things. The types of datasets range from univariate, multivariate time series of single or multiple entities, to transactional tabular data with timestamps or sequenced indexes. The types of anomalies in these datasets include contextual anomalies for one entity or collective anomalies aggregated among multiple entities in time series, and suspicious record or user in transactional tabular data. During this three-hour hands-on tutorial, we examine the suitability and performance of different methods for the 4 introduced use cases. The available choices of anomaly detection modeling framework ranges from sequential or time series models, to static graph neural network models and dynamic graph neural network models that learns coupled spatial, structural and temporal information. Among these models, anomaly detection is formulated as a forecast problem for some use cases in which anomaly severity is derived based on the observed value deviation from the predicted value. In other use cases, anomaly detection is solved as a classification problem (either as node, edge classification in graph, row-based classification in tabular data or sequential classification in sequence data). The tutorial combines an introduction of fundamental anomaly detection techniques with hands-on exercises. For the hands-on exercises, we focus on the time series based HTM method introduced in and graph methods introduced in. Participants learn to identify suitable methods, apply data transformation techniques to convert raw data into the formats the different methods assume, and study these methods on the aforementioned real-world or synthetic data sets.  © 2022 Owner/Author.</t>
  </si>
  <si>
    <t>The proceedings contain 40 papers. The special focus in this conference is on Database and Expert Systems Applications. The topics include: Synthetic Data in Automatic Number Plate Recognition; An Untold Tale of Scientific Collaboration: SCCH and AC 2 T; on the Creation and Maintenance of a Documentation Generator in an Applied Research Context; towards the Digitalization of Additive Manufacturing; Twenty Years of Successful Translational Research: A Case Study of Three COMET Centers; data Integration, Management, and Quality: From Basic Research to Industrial Application; building a YouTube Channel for Science Communication; introduction of Visual Regression Testing in Collaboration Between Industry and Academia; vibration Analysis for Rotatory Elements Wear Detection in Paper Mill Machine; applying Time-Inhomogeneous Markov Chains to Math Performance Rating; introducing Data Science Techniques into a Company Producing Electrical Appliances; a Technology Transfer Portal to Promote Industry-Academia Collaboration in South-Tyrol; fast and Automatic Object Registration for Human-Robot Collaboration in Industrial Manufacturing; sending Spies as Insurance Against Bitcoin Pool Mining Block Withholding Attacks; risks in DeFi-Lending Protocols - An Exploratory Categorization and Analysis of Interest Rate Differences; battling the Bullwhip Effect with Cryptography; Reporting of Cross-Border Transactions for Tax Purposes via DLT; securing File System Integrity and Version History Via Directory Merkle Trees and Blockchains; taxation of Blockchain Staking Rewards: Propositions Based on a Comparative Legal Analysis; comparison Framework for Blockchain Interoperability Implementations; A Comparative Analysis of Anomaly Detection Methods for Predictive Maintenance in SME; towards Strategies for Secure Data Transfer of IoT Devices with Limited Resources; application of Validation Obligations to Security Concerns; mode Switching for Secure Edge Devices; a Lifecycle Framework for Semantic Web Machine Learning Systems; enhancing TransE to Predict Process Behavior in Temporal Knowledge Graphs; an Explainable Multimodal Fusion Approach for Mass Casualty Incidents.</t>
  </si>
  <si>
    <t>The proceedings contain 39 papers. The special focus in this conference is on Discovery Science. The topics include: Elastic Product Quantization for Time Series; Stress Detection from Wearable Sensor Data Using Gramian Angular Fields and CNN; multi-attribute Transformers for Sequence Prediction in Business Process Management; data-Driven Prediction of Athletes’ Performance Based on Their Social Media Presence; link Prediction with Text in Online Social Networks: The Role of Textual Content on High-Resolution Temporal Data; weakly Supervised Named Entity Recognition for Carbon Storage Using Deep Neural Networks; predicting User Dropout from Their Online Learning Behavior; efficient Multivariate Data Fusion for Misinformation Detection During High Impact Events; discovery of Differential Equations Using Probabilistic Grammars; MQ-OFL: Multi-sensitive Queue-based Online Fair Learning; multi-fairness Under Class-Imbalance; when Correlation Clustering Meets Fairness Constraints; cooperative Deep Unsupervised Anomaly Detection; on the Ranking of Variable Length Discords Through a Hybrid Outlier Detection Approach; textMatcher: Cross-Attentional Neural Network to Compare Image and Text; can Cross-Domain Term Extraction Benefit from Cross-lingual Transfer?; retrieval-Efficiency Trade-Off of Unsupervised Keyword Extraction; A Fuzzy OWL Ontologies Embedding for Complex Ontology Alignments; optimal Decoding of Hidden Markov Models with Consistency Constraints; hyperparameter Importance of Quantum Neural Networks Across Small Datasets; semi-parametric Approach to Random Forests for High-Dimensional Bayesian Optimisation; a Clustering-Inspired Quality Measure for Exceptional Preferences Mining—Design Choices and Consequences; recurrent Segmentation Meets Block Models in Temporal Networks; community Detection in Edge-Labeled Graphs; a Fast Heuristic for Computing Geodesic Closures in Large Networks; JUICE: JUstIfied Counterfactual Explanations; explaining Siamese Networks in Few-Shot Learning for Audio Data; interpretable Latent Space to Enable Counterfactual Explanations; shapley Chains: Extending Shapley Values to Classifier Chains; explaining Crash Predictions on Multivariate Time Series Data; ImitAL: Learned Active Learning Strategy on Synthetic Data; semi-supervised Change Point Detection Using Active Learning; preface.</t>
  </si>
  <si>
    <t>The proceedings contain 103 papers. The special focus in this conference is on Machine Learning and Principles and Practice of Knowledge Discovery in Databases. The topics include: Differentially Private Learning from Label Proportions; approaches to Uncertainty Quantification in Federated Deep Learning; optimized Federated Learning on Class-Biased Distributed Data Sources; splitting Algorithms for Federated Learning; migrating Models: A Decentralized View on Federated Learning; the Effects of Randomness on the Stability of Node Embeddings; graph Homomorphism Features: Why Not Sample?; neural Maximum Independent Set; fea2Fea: Exploring Structural Feature Correlations via Graph Neural Networks; interpretable Models via Pairwise Permutations Algorithm; Web Image Context Extraction with Graph Neural Networks and Sentence Embeddings on the DOM Tree; Towards Mining Generalized Patterns from RDF Data and a Domain Ontology; homological Time Series Analysis of Sensor Signals from Power Plants; continuous-Discrete Recurrent Kalman Networks for Irregular Time Series; adversarial Generation of Temporal Data: A Critique on Fidelity of Synthetic Data; Towards Precomputed 1D-Convolutional Layers for Embedded FPGAs; embedded Face Recognition for Personalized Services in the Assistive Robotics; FLight: FPGA Acceleration of Lightweight DNN Model Inference in Industrial Analytics; exploring Cell-Based Neural Architectures for Embedded Systems; Design Space Exploration of Time, Energy, and Error Rate Trade-offs for CNNs Using Accuracy-Programmable Instruction Set Processors; a Classification of Anomaly Explanation Methods; ultra-low Power Machinery Fault Detection Using Deep Neural Networks; SPNC: Fast Sum-Product Network Inference; towards Addressing Noise and Static Variations of Analog Computations Using Efficient Retraining; The Next Frontier: AI We Can Really Trust; this Looks Like That, Because.. Explaining Prototypes for Interpretable Image Recognition; explanations for Network Embedding-Based Link Predictions.</t>
  </si>
  <si>
    <t>Objective: Skeleton-based action recognition has been concerned in recent years, as the dynamics of human skeletons has significant information for the task of action recognition. The action of human skeletons can be seen as time series of human poses, or the combination of human joint trajectories. The trajectory of important joints indicating the action class has conveyed the most significant information among all the human joints. The trajectories of these joints have been subjected to some distortions when performing the same action under different attempts. In this case, two similar trajectories of corresponding joints should share a basic shape. However, these two trajectories have appeared in diverse kinds of distortions due to individual factors. These distortions have been caused by spatial and temporal factors. Spatial factors have included the change of viewpoints, different skeleton sizes and action amplitudes, while temporal factors indicate time scaling along the time series, denoting the order and speed of performing specific action. All the spatial factors can be modeled by the affine transformation in 3D space, whereas the uniform time scaling has been commonly discussed case, which can be seen as affine transformation in 1D space. These two kinds of distortions as the spatio-temporal dual affine transformation have been combined. A novel invariant feature under these distortions has been proposed and utilized for facilitating skeleton-based action recognition. A kind of feature invariant based on the spatio-temporal affine transformation has aided the identification of similar trajectories to be beneficial for action recognition. Method A general method for constructing spatio-temporal dual affine differential invariant (STDADI) has been proposed. The rational polynomial of derivatives of joint trajectories to obtain the invariants has been utilized in detail via eliminating the transformation parameters effectively. Robust, coordinate-system-independent feature has calculated directly from the 3D coordinates. Bounding the degree of polynomial and the order of derivatives, we generate 8 independent STDADIs and combine them as an invariant vector at each moment for each human joint. Moreover, an intuitive and effective method called channel augmentation has been proposed to extend input data with STDADI along the channel dimension for training and evaluation. Specifically, the coordinate vector and the STDADI vector at each joint for each frame have been concatenated. Channel augmentation has introduced invariant information into input data without changing the inner structure of neural networks. The spatio-temporal graph convolutional networks (ST-GCN) as the basic network have been used. The skeleton data modeling as a graph structure has envolved spatial and temporal connections between human joints simultaneously. Particularly, it has exploited local pattern and correlation from human skeletons. In other words, the importance of joints along the action sequence has been expressed as the weights of human joints in the spatio-temporal graph. This is in line with our STDADI, because both of them focus on describing joint dynamics, and our features further provide an invariant expression which is not affected by the distortions. Result The synthetic data has been examined to verify the effectiveness of STDADI as well as the large-scale action recognition dataset. First, 3D spiral line and selected joint trajectory based on NTU-RGB+D applied with random transformation parameters has shown that STDADI is invariant under the spatio-temporal affine transformations. Next, the effectiveness of the proposed feature and method has been validated on the large-scale action recognition dataset NTU(Nanyang Technological University)RGB+D (NTU 60) and its extended version NTU-RGB+D 120 (NTU 120), which is currently the largest dataset with 3D joint annotations captured in a constrained indoor environment, and perform some detailed study to examine the contributions of STDADI. A data augmentation technique as well as the original ST-GCN have been as the baseline methods. The data augmentation technique has involved rotation, scaling and shear transformations of 3D skeletons. The same training strategy and hyper-parameters as the original ST-GCN have been used. ST-GCN + channel augmentation has performed well. Compared with the ST-GCN using raw data, in NTU 60, the cross-subject and cross-view recognition accuracy has been increased by 1.9% and 3.0%, respectively; in NTU 120, the cross-subject and cross-setup recognition accuracy has increased by 5.6% and 4.5% respectively. As it is mainly consisted of 3D geometric transformations, the accuracy in cross-view recognition has been much improved but contributes little to the cross-subject setting for data augmentation. The spatio-temporal dual affine transformation assumption has been validated on both evaluation criteria. Conclusion: A general method for constructing spatio-temporal dual affine differential invariant (STDADI) has been proposed. The effectiveness of this invariant feature using a channel augmentation technique has been proved on the large-scale action recognition dataset NTU-RGB+D and NTU-RGB+D 120. The combination of hand-crafted features and data-driven methods has improved the accuracy and generalization well. © 2021, Editorial Office of Journal of Image and Graphics. All right reserved.</t>
  </si>
  <si>
    <t>The proceedings contain 29 papers. The special focus in this conference is on Advances in Databases and Information Systems. The topics include: Semantically Diverse Constrained Queries; an Approach to Validation of Business-Oriented Smart Contracts Based on Process Mining; challenges in Lifelong Pathways Recommendation; the Descriptiveness of Feature Descriptors with Reduced Dimensionality; a Hybrid Data Model and Flexible Indexing for Interactive Exploration of Large-Scale Bio-science Data; relational Conditional Set Operations; GASP: Graph-Based Approximate Sequential Pattern Mining for Electronic Health Records; semi-synthetic Data and Testbed for Long-Distance E-Vehicle Routing; Looking for COVID-19 Misinformation in Multilingual Social Media Texts; semantic Discovery from Sensors and Image Data for Real-Time Spatio-Temporal Emergency Monitoring; standard Matching-Choice Expressions for Defining Path Queries in Graph Databases; Preface to ADBIS 2021 International Workshops and Doctoral Consortium; preface; learned What-If Cost Models for Autonomous Clustering; COVID-19 Portal: Machine Learning Techniques Applied to the Analysis of Judicial Processes Related to the Pandemic; LACLICHEV: Exploring the History of Climate Change in Latin America Within Newspapers Digital Collections; public Health Units - Exploratory Analysis for Decision Support; the Formal-Language-Constrained Graph Minimization Problem; interpreting Decision-Making Process for Multivariate Time Series Classification; process Mining Encoding via Meta-learning for an Enhanced Anomaly Detection; OCEL: A Standard for Object-Centric Event Logs; natural Semantics for Domain-Specific Language; A RESTful Privacy-Aware and Mutable Decentralized Ledger; segmentation Quality Refinement in Large-Scale Medical Image Dataset with Crowd-Sourced Annotations; cost-Sensitive Predictive Business Process Monitoring; process of Medical Dataset Construction for Machine Learning - Multifield Study and Guidelines; a Federated Interactive Learning IoT-Based Health Monitoring Platform; Augmenting SQLite for Local-First Software.</t>
  </si>
  <si>
    <t>("Synthetic Data" OR "Artificial Data") AND ("Graph" OR "Network Data")  AND ("Temporal" OR "Time Series")</t>
  </si>
  <si>
    <t>Scopus_4</t>
  </si>
  <si>
    <t>Scopus_25</t>
  </si>
  <si>
    <t>Scopus_28</t>
  </si>
  <si>
    <t>Scopus_33</t>
  </si>
  <si>
    <t>Scopus_38</t>
  </si>
  <si>
    <t>Scopus_40</t>
  </si>
  <si>
    <t>Scopus_41</t>
  </si>
  <si>
    <t>Scopus_47</t>
  </si>
  <si>
    <t>Scopus_54</t>
  </si>
  <si>
    <t>Scopus_63</t>
  </si>
  <si>
    <t>Scopus_69</t>
  </si>
  <si>
    <t>Scopus_70</t>
  </si>
  <si>
    <t>Scopus_74</t>
  </si>
  <si>
    <t>Scopus_87</t>
  </si>
  <si>
    <t>WoS_29</t>
  </si>
  <si>
    <t>Valid</t>
  </si>
  <si>
    <t>Title Filter</t>
  </si>
  <si>
    <t>Search Criteria</t>
  </si>
  <si>
    <t>Filter Criteria</t>
  </si>
  <si>
    <t>- synthetic data is generated</t>
  </si>
  <si>
    <t>- temporal property of the synthetic data is evaluated</t>
  </si>
  <si>
    <t>- graph property of the synthetic data is evaluated</t>
  </si>
  <si>
    <t>Abstract Filter</t>
  </si>
  <si>
    <t xml:space="preserve">Filter: Abstract </t>
  </si>
  <si>
    <t>Filter: Title</t>
  </si>
  <si>
    <t>Other_1</t>
  </si>
  <si>
    <t>Reliable Fidelity and Diversity Metrics for Generative Models</t>
  </si>
  <si>
    <t>Muhammad Ferjad Naeem, Seong Joon Oh, Youngjung Uh, Yunjey Choi, and Jaejun Yoo</t>
  </si>
  <si>
    <t>How good is my GAN?</t>
  </si>
  <si>
    <t>Other_2</t>
  </si>
  <si>
    <t>Relevancy for</t>
  </si>
  <si>
    <t>Evaluation</t>
  </si>
  <si>
    <t>Konstantin Shmelkov, Cordelia Schmid, and Karteek Alahari</t>
  </si>
  <si>
    <t>Full-Text Filter</t>
  </si>
  <si>
    <t>Only generates time series data, no mention of graph/network properties during generation or testing</t>
  </si>
  <si>
    <t>Workshop, does only contain introduction and no evaluation</t>
  </si>
  <si>
    <t>Does not generate synthetic data but only predicts power production</t>
  </si>
  <si>
    <t>Does not generate synthetic data but only predicts wind / power production</t>
  </si>
  <si>
    <t>Filter: Full Text</t>
  </si>
  <si>
    <t>("Synthetic Data" OR "Artificial Data") AND ("Dynamic Graph" OR "Temporal Network")</t>
  </si>
  <si>
    <t>1_IEEE_10</t>
  </si>
  <si>
    <t>1_Scopus_79</t>
  </si>
  <si>
    <t>Guang Yang, Ninad Kulkarni, Paavani Dua, Dipika Khullar, Alex Anto Chirayath</t>
  </si>
  <si>
    <t>The available choices of anomaly detection modeling framework ranges from sequential or time series models, to static graph neural network models and dynamic graph neural network models that learns coupled spatial, structural and temporal information. Participants learn to identify suitable methods, apply data transformation techniques to convert raw data into the formats the different methods assume, and study these methods on the aforementioned real-world or synthetic data sets.</t>
  </si>
  <si>
    <t>https://dl.acm.org/doi/pdf/10.1145/3534678.3542626</t>
  </si>
  <si>
    <t>Learning from Synthetic Point Cloud Data for Historical Buildings Semantic Segmentation</t>
  </si>
  <si>
    <t>Christian Morbidoni, Roberto Pierdicca, Marina Paolanti, Ramona Quattrini, Raissa Mammoli</t>
  </si>
  <si>
    <t>The aim is to provide a first assessment of the use of synthetic data to drive Deep Learning--based semantic segmentation in the context of historical buildings. To achieve this purpose, we present an improved version of the Dynamic Graph CNN (DGCNN) named RadDGCNN. The main improvement consists on exploiting the radius distance.</t>
  </si>
  <si>
    <t>https://dl.acm.org/doi/pdf/10.1145/3409262</t>
  </si>
  <si>
    <t>Yan, B; Wang, SC; Hu, WB; Liu, XH; Wang, WD; Liu, Y; Wang, J; Qiu, S</t>
  </si>
  <si>
    <t>Luo, Y; Cheng, C; Li, YK; Yu, CB</t>
  </si>
  <si>
    <t>Sciavicco, G; Zavatteri, M; Villa, T</t>
  </si>
  <si>
    <t>Xu, YJ; Arai, S; Tokuda, F; Kosuge, K</t>
  </si>
  <si>
    <t>Jiao, PF; Guo, X; Jing, X; He, DX; Wu, HM; Pan, SR; Gong, MG; Wang, WJ</t>
  </si>
  <si>
    <t>Li, QL; An, SJ; Liu, WQ; Li, L</t>
  </si>
  <si>
    <t>Xu, Q; Yang, YH; Chen, Q; Wang, DC; Liu, S; He, YC; Xu, L; Zi, CD</t>
  </si>
  <si>
    <t>Morbidoni, C; Pierdicca, R; Paolanti, M; Quattrini, R; Mammoli, R</t>
  </si>
  <si>
    <t>Semantic Segmentation of Railway Infrastructure based on Virtual Model Synthetic Data</t>
  </si>
  <si>
    <t>Opinion formation with zealots on temporal network</t>
  </si>
  <si>
    <t>Mining CSTNUDs significant for a set of traces is polynomial</t>
  </si>
  <si>
    <t>A Convolutional Neural Network for Point Cloud Instance Segmentation in Cluttered Scene Trained by Synthetic Data Without Color</t>
  </si>
  <si>
    <t>Temporal Network Embedding for Link Prediction via VAE Joint Attention Mechanism</t>
  </si>
  <si>
    <t>Semisupervised Learning on Graphs With an Alternating Diffusion Process</t>
  </si>
  <si>
    <t>An Improved Method of Mitigating Orbital Errors in Multiple Synthetic-Aperture-Radar Interferometric Pair Analysis for Interseismic Deformation Measurement: Application to the Tuosuo Lake Segment of the Kunlun Fault</t>
  </si>
  <si>
    <t>Opinion formation; Zealots; Temporal network; Social network</t>
  </si>
  <si>
    <t>Mining temporal constraints; CSTNUD; Uncertainty; Significant temporal network</t>
  </si>
  <si>
    <t>Three-dimensional displays; Feature extraction; Image segmentation; Semantics; Convolutional neural networks; Image color analysis; Task analysis; Point cloud; instance segmentation; deep learning</t>
  </si>
  <si>
    <t>Network topology; Task analysis; Predictive models; Topology; Logic gates; Social networking (online); Matrix decomposition; Link prediction; self-attention mechanism; temporal network embedding (TNE); variational autoencoder (VAE)</t>
  </si>
  <si>
    <t>Manifolds; Diffusion processes; Training; Kernel; Estimation; Optimization; Semisupervised learning; Affinity learning; diffusion process; graph theory; label propagation; semisupervised learning (SSL)</t>
  </si>
  <si>
    <t>geodetic imaging; InSAR; orbital error; long-wavelength error correction; interseismic-deformation rate; Kunlun fault</t>
  </si>
  <si>
    <t>Deep learning; point cloud semantic segmentation; synthetic point cloud; cultural heritage; historical building; dynamic graph convolutional neural network; radius distance; scan-to-BIM</t>
  </si>
  <si>
    <t>The application of digitalization in railway infrastructure is steadily increasing, and it accelerates the process of automating the asset management and inspection process of railway infrastructure. In this study, a point cloud segmentation method for railway infrastructure is proposed based on virtual model synthetic data and improved dynamic graph convolutional network (DGCNN). First, virtual data of railway infrastructure is created and inserted into real data for blending and augmentation, which is used to train point cloud segmentation neural networks. Acceptable segmentation results are achieved by using improved dynamic graph convolutional neural networks to train the augmented data and using the real data for point cloud segmentation. It is shown that the dataset augmented with virtual data achieves a 3.38% improvement in the accuracy of the final point cloud segmentation over that without augmentation, and the segmentation accuracy using the improved DGCNN network improves by 2.97% over that of the DGCNN network without improvement. This work could effectively improve the effect of 3D point cloud segmentation model to achieve accurate and efficient digitization of railway infrastructure.</t>
  </si>
  <si>
    <t>In decision making, people will integrate various information from complex social environments, however, information flows are constrained by the social network. Past research has demonstrated the structure of social network as well as the existence of zealots can induce some phenomena like information gerrymandering. However, the networks in social context are not static all the time, which raises the question of how opinion forms on the temporal network and how zealots influence the process of opinion formation. In this study, we investigate two scenarios of opinion formation, innovation eruption and election. For the former, we carry out some theoretical analysis based on activity-driven model and find that the existence of zealots will keep the negative opinion, which zealots hold, alive among the population. Then for the election scenario, simulations are performed both on real-world data and synthetic data. We find that the case of temporal network can weaken the effect of the zealots compared with the case of static network, and that the intensity of the effect depends on the connectivity of temporal networks. Comparing with aggregated networks, the temporal network influence the effect of zealots depending on the time interval of the temporal network. (C) 2021 Elsevier B.V. All rights reserved.</t>
  </si>
  <si>
    <t>A Conditional Simple Temporal Network with Uncertainty and Decisions (CSTNUD) is a formalism for temporal plans that models controllable and uncontrollable durations as well as controllable and uncontrollable choices simultaneously. In the classic top-down model-based engineering approach, a designer builds CSTNUDs to model, validate and execute some temporal plans of interest. In this paper, we investigate a bottom-up approach by providing a deterministic polynomial time algorithm to mine a CSTNUD from a set of execution traces (i.e., a log). We provide a prototype implementation and we test it with a set of artificial data. Finally, we elaborate on consistency and controllability of mined networks. (C) 2021 Elsevier Inc. All rights reserved.</t>
  </si>
  <si>
    <t>3D Instance segmentation is a fundamental task in computer vision. Effective segmentation plays an important role in robotic tasks, augmented reality, autonomous driving, etc. With the ascendancy of convolutional neural networks in 2D image processing, the use of deep learning methods to segment 3D point clouds receives much attention. A great convergence of training loss often requires a large amount of human-annotated data, while making such a 3D dataset is time-consuming. This paper proposes a method for training convolutional neural networks to predict instance segmentation results using synthetic data. The proposed method is based on the SGPN framework. We replaced the original feature extractor with dynamic graph convolutional neural networks that learned how to extract local geometric features and proposed a simple and effective loss function, making the network more focused on hard examples. We experimentally proved that the proposed method significantly outperforms the state-of-the-art method in both Stanford 3D Indoor Semantics Dataset and our datasets.</t>
  </si>
  <si>
    <t>Network representation learning or embedding aims to project the network into a low-dimensional space that can be devoted to different network tasks. Temporal networks are an important type of network whose topological structure changes over time. Compared with methods on static networks, temporal network embedding (TNE) methods are facing three challenges: 1) it cannot describe the temporal dependence across network snapshots; 2) the node embedding in the latent space fails to indicate changes in the network topology; and 3) it cannot avoid a lot of redundant computation via parameter inheritance on a series of snapshots. To overcome these problems, we propose a novel TNE method named temporal network embedding method based on the VAE framework (TVAE), which is based on a variational autoencoder (VAE) to capture the evolution of temporal networks for link prediction. It not only generates low-dimensional embedding vectors for nodes but also preserves the dynamic nonlinear features of temporal networks. Through the combination of a self-attention mechanism and recurrent neural networks, TVAE can update node representations and keep the temporal dependence of vectors over time. We utilize parameter inheritance to keep the new embedding close to the previous one, rather than explicitly using regularization, and thus, it is effective for large-scale networks. We evaluate our model and several baselines on synthetic data sets and real-world networks. The experimental results demonstrate that TVAE has superior performance and lower time cost compared with the baselines.</t>
  </si>
  <si>
    <t>Graph-based semisupervised learning is of great importance in many effective learning systems, particularly in agnostic settings where no parametric information or other prior knowledge about the data distribution is available. It leverages the graph structure to propagate labels from labeled nodes to unlabeled ones. Two separate stages are usually involved: constructing an affinity graph and propagating labels on the graph for transductive inference. It is suboptimal to manage them independently, as the correlation between the affinity graph and the labels would not be fully exploited. In this article, we integrate these two stages into one unified framework by formulating the graph construction as a regularized function estimation problem, similar to label propagation. We then propose an alternating diffusion process to solve them alternately, which allows us to learn the graph and unknown labels in an iterative fashion. With the proposed framework, we can construct a dynamic graph adapted to the given and predicted labels iteratively, resulting in more accurate and robust label propagation performance. Extensive experiments on synthetic data and various real-world data have demonstrated the superiority of the proposed method compared with other state-of-the-art methods.</t>
  </si>
  <si>
    <t>It is challenging to precisely measure the slow interseismic crustal-deformation rate from Synthetic Aperture Radar (SAR) data. The long-wavelength orbital errors, owing to the uncertainties in satellite orbit vectors, commonly exist in SAR interferograms, which degrade the precision of the Interferometric SAR (InSAR) products and become the main barrier to extracting interseismic tectonic deformation. In this study, we propose a novel temporal-network orbital correction method that is able to isolate the far-fault tectonic deformation from the mixed long-wavelength signals based on its spatio-temporal characteristic. The proposed approach is straightforward in methodology but could effectively separate the subtle tectonic deformation from glaring orbital errors without ancillary data. Both synthetic data and real Sentinel-1 SAR images are used to validate the reliability and effectiveness of this method. The derived InSAR velocity fields clearly present the predominant left-lateral strike-slip motions of the Tuosuo Lake segment of the Kunlun fault in western China. The fault-parallel velocity differences of 5-6 mm/yr across the fault between areas similar to 50 km away from the fault trace are addressed. The proposed method presents a significantly different performance from the traditional quadratic approximate method in the far field. Through the implementation of the proposed method, the root mean square error (RMSE) between the LOSGPS and our derived descending InSAR LOS (line of sight) measurements is reduced to less than one-third of the previous study, suggesting its potential to enhance the availability of InSAR technology for interseismic crustal-deformation measurement.</t>
  </si>
  <si>
    <t>Historical heritage is demanding robust pipelines for obtaining Heritage Building Information Modeling models that are fully interoperable and rich in their informative content. The definition of efficient Scan-to-BIM workflows represent a very important step toward a more efficient management of the historical real estate, as creating structured three-dimensional (3D) models from point clouds is complex and time-consuming. In this scenario, semantic segmentation of 3D Point Clouds is gaining more and more attention, since it might help to automatically recognize historical architectural elements. The way paved by recent Deep Learning approaches proved to provide reliable and affordable degrees of automation in other contexts, as road scenes understanding. However, semantic segmentation is particularly challenging in historical and classical architecture, due to the shapes complexity and the limited repeatability of elements across different buildings, which makes it difficult to define common patterns within the same class of elements. Furthermore, as Deep Learning models requires a considerably large amount of annotated data to be trained and tuned to properly handle unseen scenes, the lack of (big) publicly available annotated point clouds in the historical building domain is a huge problem, which in fact blocks the research in this direction. However, creating a critical mass of annotated point clouds by manual annotation is very time-consuming and impractical. To tackle this issue, in this work we explore the idea of leveraging synthetic point cloud data to train Deep Learning models to perform semantic segmentation of point clouds obtained via Terrestrial Laser Scanning. The aim is to provide a first assessment of the use of synthetic data to drive Deep Learning-based semantic segmentation in the context of historical buildings. To achieve this purpose, we present an improved version of the Dynamic Graph CNN (DGCNN) named RadDGCNN. The main improvement consists on exploiting the radius distance. In our experiments, we evaluate the trained models on synthetic dataset (publicly available) about two different historical buildings: the Ducal Palace in Urbino, Italy, and Palazzo Ferretti in Ancona, Italy. RadDGCNN yields good results, demonstrating improved segmentation performances on the TLS real datasets.</t>
  </si>
  <si>
    <t>Dynamic Graph Generative Adversarial Networks for Skeleton-Based Human Motion Prediction</t>
  </si>
  <si>
    <t>Semantic Segmentation of Railway Infrastructure Based on Virtual Model Synthetic Data</t>
  </si>
  <si>
    <t>Deep Spatio-Temporal Network for Low SNR Cryo-EM Movie Frame Enhancement</t>
  </si>
  <si>
    <t>Z. Gao; Y. Dou; Y. Zhao; Z. Han</t>
  </si>
  <si>
    <t>B. Yan; S. Wang; W. Hu; X. Liu; W. Wang; Y. Liu; J. Wang; S. Qiu</t>
  </si>
  <si>
    <t>P. Jiao; X. Guo; X. Jing; D. He; H. Wu; S. Pan; M. Gong; W. Wang</t>
  </si>
  <si>
    <t>X. Chong; H. Leung; Q. Li; J. Yao; N. Zhou</t>
  </si>
  <si>
    <t>Y. Xu; S. Arai; F. Tokuda; K. Kosuge</t>
  </si>
  <si>
    <t>Q. Li; S. An; W. Liu; L. Li</t>
  </si>
  <si>
    <t>Human 3D skeleton contains important dynamic information. By learning human skeleton data, graph neural networks have achieved excellent performance in extracting motion features. And the effectiveness of generative adversarial networks in synthetic data generation attracts much interest. In this work, we propose a novel dynamic graph generative adversarial networks for skeleton-based motion prediction. Our model, which is called DG-GAN, consists of generator and discriminator networks. The generator networks use a traditional encoder-decoder architecture. The encoder uses dynamic graph structures with global spatiotemporal receptive fields to encode human skeleton sequences, and the decoder consists of a sequence of graph-based gate recurrent units to generate prediction. In addition, we train the discriminator networks to calculate the errors between the prediction and the ground truth, and propagate the errors back to improve the quality of prediction. On the Human 3. 6M dataset, DG-GAN achieves competitive performance compared to the state-of-the-art methods.</t>
  </si>
  <si>
    <t>Cryo-EM in single particle analysis is known to have low SNR and requires to utilize several frames of the same particle sample to restore one high-quality image for visualizing that particle. However, the low SNR of cryo-EM movie and motion caused by beam striking make the task very challenging. Video enhancement algorithms in computer vision shed new light on tackling such tasks by utilizing deep neural networks. However, they are designed for natural images with high SNR. Meanwhile, the lack of ground truth in cryo-EM movie seems to be one major limiting factor of the progress. Hence, we present a synthetic cryo-EM movie generation pipeline, which can produce realistic diverse cryo-EM movie datasets with low-SNR movie frames and multiple ground truth values. Then we propose a deep spatio-temporal network (DST-Net) for cryo-EM movie frame enhancement trained on our synthetic data. Spatial and temporal features are first extracted from each frame. Spatio-temporal fusion and high-resolution re-constructor are designed to obtain the enhanced output. For evaluation, we train our model on seven synthetic cryo-EM movie datasets and infer on real cryo-EM data. The experimental results show that DST-Net can achieve better enhancement performance both quantitatively and qualitatively compared with others.</t>
  </si>
  <si>
    <t>3D Instance segmentation is a fundamental task in computer vision. Effective segmentation plays an important role in robotic tasks, augmented reality, autonomous driving, etc. With the ascendancy of convolutional neural networks in 2D image processing, the use of deep learning methods to segment 3D point clouds receives much attention. A great convergence of training loss often requires a large amount of human-annotated data, while making such a 3D dataset is time-consuming. This paper proposes a method for training convolutional neural networks to predict instance segmentation results using synthetic data. The proposed method is based on the SGPN framework. We replaced the original feature extractor with “dynamic graph convolutional neural networks” that learned how to extract local geometric features and proposed a simple and effective loss function, making the network more focused on hard examples. We experimentally proved that the proposed method significantly outperforms the state-of-the-art method in both Stanford 3D Indoor Semantics Dataset and our datasets.</t>
  </si>
  <si>
    <t>https://ieeexplore.ieee.org/stamp/stamp.jsp?arnumber=9258542</t>
  </si>
  <si>
    <t>https://ieeexplore.ieee.org/stamp/stamp.jsp?arnumber=10422077</t>
  </si>
  <si>
    <t>https://ieeexplore.ieee.org/stamp/stamp.jsp?arnumber=9449483</t>
  </si>
  <si>
    <t>https://ieeexplore.ieee.org/stamp/stamp.jsp?arnumber=10477553</t>
  </si>
  <si>
    <t>https://ieeexplore.ieee.org/stamp/stamp.jsp?arnumber=9025047</t>
  </si>
  <si>
    <t>https://ieeexplore.ieee.org/stamp/stamp.jsp?arnumber=9146671</t>
  </si>
  <si>
    <t>computer vision;human skeleton;motion prediction;graph neural networks;generative adversarial networks</t>
  </si>
  <si>
    <t>Link prediction;self-attention mechanism;temporal network embedding (TNE);variational autoencoder (VAE)</t>
  </si>
  <si>
    <t>Cryo-EM Movie Generation;Movie Frame Enhancement;Deep Learning;Low SNR</t>
  </si>
  <si>
    <t>Point cloud;instance segmentation;deep learning</t>
  </si>
  <si>
    <t>Affinity learning;diffusion process;graph theory;label propagation;semisupervised learning (SSL)</t>
  </si>
  <si>
    <t>Luo Y.; Cheng C.; Li Y.; Yu C.</t>
  </si>
  <si>
    <t>Cadena J.; Sales A.P.; Lam D.; Enright H.A.; Wheeler E.K.; Fischer N.O.</t>
  </si>
  <si>
    <t>Ma Z.; Jiang M.; Ding Q.</t>
  </si>
  <si>
    <t>Jiao P.; Guo X.; Jing X.; He D.; Wu H.; Pan S.; Gong M.; Wang W.</t>
  </si>
  <si>
    <t>Svoboda J.; Astolfi P.; Boscaini D.; Masci J.; Bronstein M.</t>
  </si>
  <si>
    <t>Gao Z.; Dou Y.; Zhao Y.; Han Z.</t>
  </si>
  <si>
    <t>Xu Y.; Arai S.; Tokuda F.; Kosuge K.</t>
  </si>
  <si>
    <t>Xu Q.; Yang Y.; Chen Q.; Wang D.; Liu S.; He Y.; Xu L.; Zi C.</t>
  </si>
  <si>
    <t>Sciavicco G.; Zavatteri M.; Villa T.</t>
  </si>
  <si>
    <t>Mokryn O.; Abbey A.; Marmor Y.; Shahar Y.</t>
  </si>
  <si>
    <t>Morbidoni C.; Pierdicca R.; Paolanti M.; Quattrini R.; Mammoli R.</t>
  </si>
  <si>
    <t>Li Q.; An S.; Liu W.; Li L.</t>
  </si>
  <si>
    <t>Wei D.; Koutis I.; Roy S.B.</t>
  </si>
  <si>
    <t>Miller H.; Mokryn O.</t>
  </si>
  <si>
    <t>Yan B.; Wang S.; Hu W.; Liu X.; Wang W.; Liu Y.; Wang J.; Qiu S.</t>
  </si>
  <si>
    <t>Seabrook I.E.; Barucca P.; Caccioli F.</t>
  </si>
  <si>
    <t>Shan X.; Shi X.; Song Y.; Zhang M.; Song B.</t>
  </si>
  <si>
    <t>Kilic B.U.; Muldoon S.F.</t>
  </si>
  <si>
    <t>Chong X.; Leung H.; Li Q.; Yao J.; Zhou N.</t>
  </si>
  <si>
    <t>Time-series co-registration for Sentinel-1 TOPS SAR Data; [时序Sentinel-1TOPS模式SAR数据精配准]</t>
  </si>
  <si>
    <t>Clustered Dynamic Graph CNN for Biometric 3D Hand Shape Recognition</t>
  </si>
  <si>
    <t>Dynamic graph generative adversarial networks for skeleton-based human motion prediction</t>
  </si>
  <si>
    <t>A Convolutional Neural Network for Point Cloud Instance Segmentation in Cluttered Scene Trained by Synthetic Data without Color</t>
  </si>
  <si>
    <t>Evaluating the dynamic interplay of social distancing policies regarding airborne pathogens through a temporal interaction-driven model that uses real-world and synthetic data</t>
  </si>
  <si>
    <t>Learning from synthetic point cloud data for historical buildings semantic segmentation</t>
  </si>
  <si>
    <t>Semisupervised Learning on Graphs with an Alternating Diffusion Process</t>
  </si>
  <si>
    <t>Peer learning through targeted dynamic groups formation</t>
  </si>
  <si>
    <t>Size agnostic change point detection framework for evolving networks</t>
  </si>
  <si>
    <t>Evaluating structural edge importance in temporal networks</t>
  </si>
  <si>
    <t>Dynamic partition of large graphs combining local nodes exchange with directed dynamic maintenance</t>
  </si>
  <si>
    <t>Skeleton coupling: a novel interlayer mapping of community evolution in temporal networks</t>
  </si>
  <si>
    <t>https://www.scopus.com/inward/record.uri?eid=2-s2.0-85101516168&amp;doi=10.1016%2fj.cnsns.2021.105772&amp;partnerID=40&amp;md5=b21178a7aaad6c6d7cd5c09295ee6205</t>
  </si>
  <si>
    <t>https://www.scopus.com/inward/record.uri?eid=2-s2.0-85086052988&amp;doi=10.1371%2fjournal.pcbi.1007834&amp;partnerID=40&amp;md5=7ac288fa9e94dcf4f9db0c1758601758</t>
  </si>
  <si>
    <t>https://www.scopus.com/inward/record.uri?eid=2-s2.0-85107348036&amp;doi=10.11947%2fj.AGCS.2021.20200082&amp;partnerID=40&amp;md5=69d4f8c901097c27ba35d9a43bb0a2e9</t>
  </si>
  <si>
    <t>https://www.scopus.com/inward/record.uri?eid=2-s2.0-85111054244&amp;doi=10.1109%2fTNNLS.2021.3084957&amp;partnerID=40&amp;md5=67b58eaee4a988a2b926c731a9ab70ab</t>
  </si>
  <si>
    <t>https://www.scopus.com/inward/record.uri?eid=2-s2.0-85099701859&amp;doi=10.1109%2fIJCB48548.2020.9304894&amp;partnerID=40&amp;md5=f7b62977e4f755beaba00055fb9dc5cd</t>
  </si>
  <si>
    <t>https://www.scopus.com/inward/record.uri?eid=2-s2.0-85098643979&amp;doi=10.1109%2fISPDS51347.2020.00016&amp;partnerID=40&amp;md5=8bf2e7cd696d0f8ec475bbd25bcaa3cb</t>
  </si>
  <si>
    <t>https://www.scopus.com/inward/record.uri?eid=2-s2.0-85083899191&amp;doi=10.1109%2fACCESS.2020.2978506&amp;partnerID=40&amp;md5=e069d709e083dc3a91d1cd77cd5b7f73</t>
  </si>
  <si>
    <t>https://www.scopus.com/inward/record.uri?eid=2-s2.0-85199778578&amp;doi=10.3390%2frs16142564&amp;partnerID=40&amp;md5=22e95099a695bd7bbe7ecd439e748294</t>
  </si>
  <si>
    <t>https://www.scopus.com/inward/record.uri?eid=2-s2.0-85109456882&amp;doi=10.1016%2fj.ic.2021.104773&amp;partnerID=40&amp;md5=04d2285ac188523627f9a4b99f14d804</t>
  </si>
  <si>
    <t>https://www.scopus.com/inward/record.uri?eid=2-s2.0-85185329442&amp;doi=10.1016%2fj.jbi.2024.104601&amp;partnerID=40&amp;md5=ddabec3853d3926bfd37e733e1c3e84f</t>
  </si>
  <si>
    <t>https://www.scopus.com/inward/record.uri?eid=2-s2.0-85092167437&amp;doi=10.1145%2f3409262&amp;partnerID=40&amp;md5=26aa6f0385489c5289a9cb52d34566cf</t>
  </si>
  <si>
    <t>https://www.scopus.com/inward/record.uri?eid=2-s2.0-85111952757&amp;doi=10.1109%2fTNNLS.2020.3008445&amp;partnerID=40&amp;md5=6174e9d0fe028e088ce49e653e01a758</t>
  </si>
  <si>
    <t>https://www.scopus.com/inward/record.uri?eid=2-s2.0-85112866687&amp;doi=10.1109%2fICDE51399.2021.00018&amp;partnerID=40&amp;md5=14d60bef0f33333fcbf47af8b847d9ed</t>
  </si>
  <si>
    <t>https://www.scopus.com/inward/record.uri?eid=2-s2.0-85083191134&amp;doi=10.1371%2fjournal.pone.0231035&amp;partnerID=40&amp;md5=822ddfde0c5f00134dd632215ae084ce</t>
  </si>
  <si>
    <t>https://www.scopus.com/inward/record.uri?eid=2-s2.0-85186501220&amp;doi=10.1109%2fITSC57777.2023.10422077&amp;partnerID=40&amp;md5=3b18adfb664f8dd7a86df3533ade103b</t>
  </si>
  <si>
    <t>https://www.scopus.com/inward/record.uri?eid=2-s2.0-85105600237&amp;doi=10.1140%2fepjds%2fs13688-021-00279-6&amp;partnerID=40&amp;md5=1147c70e653e03a2c68669ed9675ec00</t>
  </si>
  <si>
    <t>https://www.scopus.com/inward/record.uri?eid=2-s2.0-85092103010&amp;doi=10.1007%2f978-3-030-60029-7_40&amp;partnerID=40&amp;md5=83ac9fa19327f2a76af06194c7999d1c</t>
  </si>
  <si>
    <t>https://www.scopus.com/inward/record.uri?eid=2-s2.0-85188784755&amp;doi=10.1093%2fcomnet%2fcnae011&amp;partnerID=40&amp;md5=5cb842f2a87b06d9b2d080a172ff1e7b</t>
  </si>
  <si>
    <t>https://www.scopus.com/inward/record.uri?eid=2-s2.0-85189365748&amp;doi=10.1109%2fTCBB.2024.3380410&amp;partnerID=40&amp;md5=f13c2f49b09dabd2ad4f0793f1cfc6dd</t>
  </si>
  <si>
    <t>In decision making, people will integrate various information from complex social environments, however, information flows are constrained by the social network. Past research has demonstrated the structure of social network as well as the existence of zealots can induce some phenomena like information gerrymandering. However, the networks in social context are not static all the time, which raises the question of how opinion forms on the temporal network and how zealots influence the process of opinion formation. In this study, we investigate two scenarios of opinion formation, innovation eruption and election. For the former, we carry out some theoretical analysis based on activity-driven model and find that the existence of zealots will keep the negative opinion, which zealots hold, alive among the population. Then for the election scenario, simulations are performed both on real-world data and synthetic data. We find that the case of temporal network can weaken the effect of the zealots compared with the case of static network, and that the intensity of the effect depends on the connectivity of temporal networks. Comparing with aggregated networks, the temporal network influence the effect of zealots depending on the time interval of the temporal network. © 2021 Elsevier B.V.</t>
  </si>
  <si>
    <t>Neurons form complex networks that evolve over multiple time scales. In order to thoroughly characterize these networks, time dependencies must be explicitly modeled. Here, we present a statistical model that captures both the underlying structural and temporal dynamics of neuronal networks. Our model combines the class of Stochastic Block Models for community formation with Gaussian processes to model changes in the community structure as a smooth function of time. We validate our model on synthetic data and demonstrate its utility on three different studies using in vitro cultures of dissociated neurons. © 2020 Cadena et al. This is an open access article distributed under the terms of the Creative Commons Attribution License, which permits unrestricted use, distribution, and reproduction in any medium, provided the original author and source are credited.</t>
  </si>
  <si>
    <t>TOPS mode is the default imaging mode of Sentinel-1 satellites, which requires an overall azimuth co-registration accuracy of 0.001 pixels to ensure that the interferometric phase difference of consecutive bursts is less than 3°. Although the ESD technique is an effective method to correct the azimuth residual shift, the accuracy will decrease due to the abrupt loss of coherence. To solve this issue, this paper presents a method to improve the accuracy of TOPS co-registration by maximizing time-series coherence. The method focuses on selecting interferometric pairs with optimal coherence and simultaneously preserve the temporal network loops by Bellman-Ford algorithm. The improvement of network can reduce the error propagation caused by low coherence during the least-squares adjustment, and therefore improve the performance of ESD estimation. Based on synthetic data and real data covering the Weihe plain, we evaluate the performance of proposed method against the state-of-the-art techniques. The results demonstrate the effectiveness of the proposed method. © 2021, Surveying and Mapping Press. All right reserved.</t>
  </si>
  <si>
    <t>Network representation learning or embedding aims to project the network into a low-dimensional space that can be devoted to different network tasks. Temporal networks are an important type of network whose topological structure changes over time. Compared with methods on static networks, temporal network embedding (TNE) methods are facing three challenges: 1) it cannot describe the temporal dependence across network snapshots; 2) the node embedding in the latent space fails to indicate changes in the network topology; and 3) it cannot avoid a lot of redundant computation via parameter inheritance on a series of snapshots. To overcome these problems, we propose a novel TNE method named temporal network embedding method based on the VAE framework (TVAE), which is based on a variational autoencoder (VAE) to capture the evolution of temporal networks for link prediction. It not only generates low-dimensional embedding vectors for nodes but also preserves the dynamic nonlinear features of temporal networks. Through the combination of a self-attention mechanism and recurrent neural networks, TVAE can update node representations and keep the temporal dependence of vectors over time. We utilize parameter inheritance to keep the new embedding close to the previous one, rather than explicitly using regularization, and thus, it is effective for large-scale networks. We evaluate our model and several baselines on synthetic data sets and real-world networks. The experimental results demonstrate that TVAE has superior performance and lower time cost compared with the baselines.  © 2012 IEEE.</t>
  </si>
  <si>
    <t>The research in biometric recognition using hand shape has been somewhat stagnating in the last decade. Meanwhile, computer vision and machine learning have experienced a paradigm shift with the renaissance of deep learning, which has set the new state-of-the-art in many related fields. Inspired by successful applications of deep learning for other biometric modalities, we propose a novel approach to 3D hand shape recognition from RGB-D data based on geometric deep learning techniques. We show how to train our model on synthetic data and retain the performance on real samples during test time. To evaluate our method, we provide a new dataset NNHand RGB- D of short video sequences and show encouraging performance compared to diverse baselines on the new data, as well as current benchmark dataset HKPolyU. Moreover, the new dataset opens door to many new research directions in hand shape recognition. © 2020 IEEE.</t>
  </si>
  <si>
    <t>Human 3D skeleton contains important dynamic information. By learning human skeleton data, graph neural networks have achieved excellent performance in extracting motion features. And the effectiveness of generative adversarial networks in synthetic data generation attracts much interest. In this work, we propose a novel dynamic graph generative adversarial networks for skeleton-based motion prediction. Our model, which is called DG-GAN, consists of generator and discriminator networks. The generator networks use a traditional encoder-decoder architecture. The encoder uses dynamic graph structures with global spatiotemporal receptive fields to encode human skeleton sequences, and the decoder consists of a sequence of graph-based gate recurrent units to generate prediction. In addition, we train the discriminator networks to calculate the errors between the prediction and the ground truth, and propagate the errors back to improve the quality of prediction. On the Human 3. 6M dataset, DG-GAN achieves competitive performance compared to the state-of-the-art methods. © 2020 IEEE.</t>
  </si>
  <si>
    <t>3D Instance segmentation is a fundamental task in computer vision. Effective segmentation plays an important role in robotic tasks, augmented reality, autonomous driving, etc. With the ascendancy of convolutional neural networks in 2D image processing, the use of deep learning methods to segment 3D point clouds receives much attention. A great convergence of training loss often requires a large amount of human-annotated data, while making such a 3D dataset is time-consuming. This paper proposes a method for training convolutional neural networks to predict instance segmentation results using synthetic data. The proposed method is based on the SGPN framework. We replaced the original feature extractor with 'dynamic graph convolutional neural networks' that learned how to extract local geometric features and proposed a simple and effective loss function, making the network more focused on hard examples. We experimentally proved that the proposed method significantly outperforms the state-of-the-art method in both Stanford 3D Indoor Semantics Dataset and our datasets. © 2013 IEEE.</t>
  </si>
  <si>
    <t>It is challenging to precisely measure the slow interseismic crustal-deformation rate from Synthetic Aperture Radar (SAR) data. The long-wavelength orbital errors, owing to the uncertainties in satellite orbit vectors, commonly exist in SAR interferograms, which degrade the precision of the Interferometric SAR (InSAR) products and become the main barrier to extracting interseismic tectonic deformation. In this study, we propose a novel temporal-network orbital correction method that is able to isolate the far-fault tectonic deformation from the mixed long-wavelength signals based on its spatio–temporal characteristic. The proposed approach is straightforward in methodology but could effectively separate the subtle tectonic deformation from glaring orbital errors without ancillary data. Both synthetic data and real Sentinel-1 SAR images are used to validate the reliability and effectiveness of this method. The derived InSAR velocity fields clearly present the predominant left-lateral strike-slip motions of the Tuosuo Lake segment of the Kunlun fault in western China. The fault-parallel velocity differences of 5–6 mm/yr across the fault between areas ~50 km away from the fault trace are addressed. The proposed method presents a significantly different performance from the traditional quadratic approximate method in the far field. Through the implementation of the proposed method, the root mean square error (RMSE) between the LOSGPS and our derived descending InSAR LOS (line of sight) measurements is reduced to less than one-third of the previous study, suggesting its potential to enhance the availability of InSAR technology for interseismic crustal-deformation measurement. © 2024 by the authors.</t>
  </si>
  <si>
    <t>A Conditional Simple Temporal Network with Uncertainty and Decisions (CSTNUD) is a formalism for temporal plans that models controllable and uncontrollable durations as well as controllable and uncontrollable choices simultaneously. In the classic top-down model-based engineering approach, a designer builds CSTNUDs to model, validate and execute some temporal plans of interest. In this paper, we investigate a bottom-up approach by providing a deterministic polynomial time algorithm to mine a CSTNUD from a set of execution traces (i.e., a log). We provide a prototype implementation and we test it with a set of artificial data. Finally, we elaborate on consistency and controllability of mined networks. © 2021 Elsevier Inc.</t>
  </si>
  <si>
    <t>Objective: The recent SARS-CoV-2 pandemic has exhibited diverse patterns of spread across countries and communities, emphasizing the need to consider the underlying population dynamics in modeling its progression and the importance of evaluating the effectiveness of non-pharmaceutical intervention strategies in combating viral transmission within human communities. Such an understanding requires accurate modeling of the interplay between the community dynamics and the disease propagation dynamics within the community. Methods: We build on an interaction-driven model of an airborne disease over contact networks that we have defined. Using the model, we evaluate the effectiveness of temporal, spatial, and spatiotemporal social distancing policies. Temporal social distancing involves a pure dilation of the timeline while preserving individual activity potential and thus prolonging the period of interaction; spatial distancing corresponds to social distancing pods; and spatiotemporal distancing pertains to the situation in which fixed subgroups of the overall group meet at alternate times. We evaluate these social distancing policies over real-world interactions’ data and over history-preserving synthetic temporal random networks. Furthermore, we evaluate the policies for the disease's with different number of initial patients, corresponding to either the phase in the progression of the infection through a community or the number of patients infected together at the initial infection event. We expand our model to consider the exposure to viral load, which we correlate with the meetings’ duration. Results: Our results demonstrate the superiority of decreasing social interactions (i.e., time dilation) within the community over partial isolation strategies, such as the spatial distancing pods and the spatiotemporal distancing strategy. In addition, we found that slow-spreading pathogens (i.e., pathogens that require a longer exposure to infect) spread roughly at the same rate as fast-spreading ones in highly active communities. This result is surprising since the pathogens may follow different paths. However, we demonstrate that the dilation of the timeline considerably slows the spread of the slower pathogens. Conclusions: Our results demonstrate that the temporal dynamics of a community have a more significant effect on the spread of the disease than the characteristics of the spreading processes. © 2024 Elsevier Inc.</t>
  </si>
  <si>
    <t>Historical heritage is demanding robust pipelines for obtaining Heritage Building Information Modeling models that are fully interoperable and rich in their informative content. The definition of efficient Scan-to-BIM workflows represent a very important step toward a more efficient management of the historical real estate, as creating structured three-dimensional (3D) models from point clouds is complex and time-consuming. In this scenario, semantic segmentation of 3D Point Clouds is gaining more and more attention, since it might help to automatically recognize historical architectural elements. The way paved by recent Deep Learning approaches proved to provide reliable and affordable degrees of automation in other contexts, as road scenes understanding. However, semantic segmentation is particularly challenging in historical and classical architecture, due to the shapes complexity and the limited repeatability of elements across different buildings, which makes it difficult to define common patterns within the same class of elements. Furthermore, as Deep Learning models requires a considerably large amount of annotated data to be trained and tuned to properly handle unseen scenes, the lack of (big) publicly available annotated point clouds in the historical building domain is a huge problem, which in fact blocks the research in this direction. However, creating a critical mass of annotated point clouds by manual annotation is very time-consuming and impractical. To tackle this issue, in this work we explore the idea of leveraging synthetic point cloud data to train Deep Learning models to perform semantic segmentation of point clouds obtained via Terrestrial Laser Scanning. The aim is to provide a first assessment of the use of synthetic data to drive Deep Learning–based semantic segmentation in the context of historical buildings. To achieve this purpose, we present an improved version of the Dynamic Graph CNN (DGCNN) named RadDGCNN. The main improvement consists on exploiting the radius distance. In our experiments, we evaluate the trained models on synthetic dataset (publicly available) about two different historical buildings: the Ducal Palace in Urbino, Italy, and Palazzo Ferretti in Ancona, Italy. RadDGCNN yields good results, demonstrating improved segmentation performances on the TLS real datasets. © 2020 Association for Computing Machinery.</t>
  </si>
  <si>
    <t>Graph-based semisupervised learning is of great importance in many effective learning systems, particularly in agnostic settings where no parametric information or other prior knowledge about the data distribution is available. It leverages the graph structure to propagate labels from labeled nodes to unlabeled ones. Two separate stages are usually involved: constructing an affinity graph and propagating labels on the graph for transductive inference. It is suboptimal to manage them independently, as the correlation between the affinity graph and the labels would not be fully exploited. In this article, we integrate these two stages into one unified framework by formulating the graph construction as a regularized function estimation problem, similar to label propagation. We then propose an alternating diffusion process to solve them alternately, which allows us to learn the graph and unknown labels in an iterative fashion. With the proposed framework, we can construct a dynamic graph adapted to the given and predicted labels iteratively, resulting in more accurate and robust label propagation performance. Extensive experiments on synthetic data and various real-world data have demonstrated the superiority of the proposed method compared with other state-of-the-art methods.  © 2012 IEEE.</t>
  </si>
  <si>
    <t>Peer groups leverage the presence of knowledgeable individuals in order to increase the knowledge level of other participants. The 'smart' formation of peer groups can thus play a crucial role in educational settings, including online social networks and learning platforms. Indeed, the targeted groups formation problem, where the objective is to maximize a measure of aggregate knowledge, has received considerable attention in recent literature. In this paper we initiate a dynamic variant of the problem that, unlike previous works, allows the change of group composition over time while still targeting to maximize the aggregated knowledge level. The problem is studied in a principled way, using a realistic learning gain function and for two different interaction modes among the group members. On the algorithmic side, we present DyGroups, a generic algorithmic framework that is greedy in nature and highly scalable. We present non-trivial proofs to demonstrate theoretical guarantees for DyGroups in a special case. We also present real peer learning experiments with humans, and perform synthetic data experiments to demonstrate the effectiveness of our proposed solutions by comparing against multiple appropriately selected baseline algorithms. © 2021 IEEE.</t>
  </si>
  <si>
    <t>Changes in the structure of observed social and complex networks can indicate a significant underlying change in an organization, or reflect the response of the network to an external event. Automatic detection of change points in evolving networks is rudimentary to the research and the understanding of the effect of such events on networks. Here we present an easy-to-implement and fast framework for change point detection in evolving temporal networks. Our method is size agnostic, and does not require either prior knowledge about the network's size and structure, nor does it require obtaining historical information or nodal identities over time. We tested it over both synthetic data derived from dynamic models and two real datasets: Enron email exchange and AskUbuntu forum. Our framework succeeds with both precision and recall and outperforms previous solutions. Copyright: © 2020 Miller, Mokryn. This is an open access article distributed under the terms of the Creative Commons Attribution License, which permits unrestricted use, distribution, and reproduction in any medium, provided the original author and source are credited.</t>
  </si>
  <si>
    <t>The application of digitalization in railway infrastructure is steadily increasing, and it accelerates the process of automating the asset management and inspection process of railway infrastructure. In this study, a point cloud segmentation method for railway infrastructure is proposed based on virtual model synthetic data and improved dynamic graph convolutional network (DGCNN). First, virtual data of railway infrastructure is created and inserted into real data for blending and augmentation, which is used to train point cloud segmentation neural networks. Acceptable segmentation results are achieved by using improved dynamic graph convolutional neural networks to train the augmented data and using the real data for point cloud segmentation. It is shown that the dataset augmented with virtual data achieves a 3.38% improvement in the accuracy of the final point cloud segmentation over that without augmentation, and the segmentation accuracy using the improved DGCNN network improves by 2.97% over that of the DGCNN network without improvement. This work could effectively improve the effect of 3D point cloud segmentation model to achieve accurate and efficient digitization of railway infrastructure. © 2023 IEEE.</t>
  </si>
  <si>
    <t>To monitor risk in temporal financial networks, we need to understand how individual behaviours affect the global evolution of networks. Here we define a structural importance metric—which we denote as le—for the edges of a network. The metric is based on perturbing the adjacency matrix and observing the resultant change in its largest eigenvalues. We then propose a model of network evolution where this metric controls the probabilities of subsequent edge changes. We show using synthetic data how the parameters of the model are related to the capability of predicting whether an edge will change from its value of le. We then estimate the model parameters associated with five real financial and social networks, and we study their predictability. These methods have applications in financial regulation whereby it is important to understand how individual changes to financial networks will impact their global behaviour. It also provides fundamental insights into spectral predictability in networks, and it demonstrates how spectral perturbations can be a useful tool in understanding the interplay between micro and macro features of networks. © 2021, The Author(s).</t>
  </si>
  <si>
    <t>Graph partition is the key preprocessing of query and analysis for graphs. In the era of big data, graphs have the characteristics of large scale and dynamic evolution. For such large dynamic graphs, the existing graph partition methods have the problems of too slow partition speed, unable to realize dynamic update, and uneven load caused by dynamic changes of graphs. Regarding to the above problems, in this paper, a processing technique combining initial graph partition with incremental dynamic maintenance is proposed. In the initial partition stage, a multi-level local nodes exchange partition algorithm is proposed, which is composed of graph compression, local node exchange partition and restoration optimization. Then an optimization adjustment mechanism is proposed to eliminate redundant modification and reduce computing cost. In the dynamic maintenance stage, several update strategies for different changes are executed. And a directed dynamic maintenance strategy is proposed to avoid frequent or circular exchange caused by two-way movement, so as to improve the efficiency of dynamic graph partition. The experiments show that our proposed method is quite efficient in dynamic partition of large graphs, which is performed both on real and synthetic data. © Springer Nature Switzerland AG 2020.</t>
  </si>
  <si>
    <t>Dynamic community detection (DCD) in temporal networks is a complicated task that involves the selection of a method and its associated hyperparameters. How to choose the most appropriate method generally depends on the type of network being analysed and the specific properties of the data that define the network. In functional temporal networks derived from neuronal spike train data, communities are expected to be transient, and it is common for the network to contain multiple singleton communities. Here, we compare the performance of different DCD methods on functional temporal networks built from synthetic neuronal time series data with known community structure. We find that, for these networks, DCD methods that utilize interlayer links to perform community carry over between layers outperform other methods. However, we also observe that DCD performance is highly dependent on the topology of interlayer links, especially in the presence of singleton and transient communities. We therefore define a novel way of defining interlayer links in temporal networks called skeleton coupling that is specifically designed to enhance the linkage of communities in the network throughout time based on the topological properties of the community history. We show that integrating skeleton coupling with current DCD methods improves the method's performance in synthetic data with planted singleton and transient communities. The use of skeleton coupling to perform DCD will therefore allow for more accurate and interpretable results of community evolution in real-world neuronal data or in other systems with transient structure and singleton communities.  © 2024 The Author. Published by Oxford University Press. All rights reserved.</t>
  </si>
  <si>
    <t>Cryo-EM in single particle analysis is known to have low SNR and requires to utilize several frames of the same particle sample to restore one high-quality image for visualizing that particle. However, the low SNR of cryo-EM movie and motion caused by beam striking make the task very challenging. Video enhancement algorithms in computer vision shed new light on tackling such tasks by utilizing deep neural networks. However, they are designed for natural images with high SNR. Meanwhile, the lack of ground truth in cryo-EM movie seems to be one major limiting factor of the progress. Hence, we present a synthetic cryo-EM movie generation pipeline, which can produce realistic diverse cryo-EM movie datasets with low-SNR movie frames and multiple ground truth values. Then we propose a deep spatio-temporal network (DST-Net) for cryo-EM movie frame enhancement trained on our synthetic data. Spatial and temporal features are first extracted from each frame. Spatio-temporal fusion and high-resolution re-constructor are designed to obtain the enhanced output. For evaluation, we train our model on seven synthetic cryo-EM movie datasets and infer on real cryo-EM data. The experimental results show that DST-Net can achieve better enhancement performance both quantitatively and qualitatively compared with others. IEEE</t>
  </si>
  <si>
    <t>Opinion formation; Social network; Temporal network; Zealots</t>
  </si>
  <si>
    <t>Co-registration; Coherence; Enhanced spectral diversity; Sentinel-1; Synthetic aperture radar; Terrain observation by progressive scans</t>
  </si>
  <si>
    <t>Link prediction; self-attention mechanism; temporal network embedding (TNE); variational autoencoder (VAE)</t>
  </si>
  <si>
    <t>Computer vision; Generative adversarial networks; Graph neural networks; Human skeleton; Motion prediction</t>
  </si>
  <si>
    <t>deep learning; instance segmentation; Point cloud</t>
  </si>
  <si>
    <t>geodetic imaging; InSAR; interseismic-deformation rate; Kunlun fault; long-wavelength error correction; orbital error</t>
  </si>
  <si>
    <t>CSTNUD; Mining temporal constraints; Significant temporal network; Uncertainty</t>
  </si>
  <si>
    <t>Community infection rate; Interaction-driven contagion model; Social distancing; Temporal networks; Time dilation</t>
  </si>
  <si>
    <t>Cultural heritage; Deep learning; Dynamic graph convolutional neural network; Historical building; Point cloud semantic segmentation; Radius distance; Scan-to-BIM; Synthetic point cloud</t>
  </si>
  <si>
    <t>Affinity learning; diffusion process; graph theory; label propagation; semisupervised learning (SSL)</t>
  </si>
  <si>
    <t>Dynamic Graph Partition; Groups Formation; Peer Learning</t>
  </si>
  <si>
    <t>Classification; Dynamics; Edge predictability; Spectral perturbation</t>
  </si>
  <si>
    <t>Dynamic graphs; Graph partition; Incremental update; Load balance; Multilevel division</t>
  </si>
  <si>
    <t>dynamic community detection; neuroscience; temporal networks; time-series analysis</t>
  </si>
  <si>
    <t>Cryo-EM Movie Generation; Deep Learning; Feature extraction; Low SNR; Motion pictures; Movie Frame Enhancement; Photomicrography; Pipelines; Signal to noise ratio; Task analysis; Three-dimensional displays</t>
  </si>
  <si>
    <t>Scopus_7</t>
  </si>
  <si>
    <t>Scopus_8</t>
  </si>
  <si>
    <t>Scopus_21</t>
  </si>
  <si>
    <t>2_WoS_1</t>
  </si>
  <si>
    <t>http://dx.doi.org/10.1109/ITSC57777.2023.10422077</t>
  </si>
  <si>
    <t>2_WoS_2</t>
  </si>
  <si>
    <t>http://dx.doi.org/10.1016/j.cnsns.2021.105772</t>
  </si>
  <si>
    <t>2_WoS_3</t>
  </si>
  <si>
    <t>http://dx.doi.org/10.1016/j.ic.2021.104773</t>
  </si>
  <si>
    <t>2_WoS_5</t>
  </si>
  <si>
    <t>http://dx.doi.org/10.1109/ACCESS.2020.2978506</t>
  </si>
  <si>
    <t>2_WoS_6</t>
  </si>
  <si>
    <t>http://dx.doi.org/10.1109/TNNLS.2021.3084957</t>
  </si>
  <si>
    <t>2_WoS_7</t>
  </si>
  <si>
    <t>http://dx.doi.org/10.1109/TNNLS.2020.3008445</t>
  </si>
  <si>
    <t>2_WoS_8</t>
  </si>
  <si>
    <t>http://dx.doi.org/10.3390/rs16142564</t>
  </si>
  <si>
    <t>2_WoS_9</t>
  </si>
  <si>
    <t>http://dx.doi.org/10.1145/3409262</t>
  </si>
  <si>
    <t>Forward_1</t>
  </si>
  <si>
    <t>A Data-Driven Graph Generative Model for Temporal Interaction Networks</t>
  </si>
  <si>
    <t>Dawei Zhou, Lecheng Zheng, Jiawei Han, Jingrui He</t>
  </si>
  <si>
    <t>Deep graph generative models have recently received a surge of attention due to its superiority of modeling realistic graphs in a variety of domains, including biology, chemistry, and social science. Despite the initial success, most, if not all, of the existing works are designed for static networks. Nonetheless, many realistic networks are intrinsically dynamic and presented as a collection of system logs (i.e., timestamped interactions/edges between entities), which pose a new research direction for us: how can we synthesize realistic dynamic networks by directly learning from the system logs? In addition, how can we ensure the generated graphs preserve both the structural and temporal characteristics of the real data?
To address these challenges, we propose an end-to-end deep generative framework named TagGen. In particular, we start with a novel sampling strategy for jointly extracting structural and temporal context information from temporal networks. On top of that, TagGen parameterizes a bi-level self-attention mechanism together with a family of local operations to generate temporal random walks. At last, a discriminator gradually selects generated temporal random walks, that are plausible in the input data, and feeds them to an assembling module for generating temporal networks. The experimental results in seven real-world data sets across a variety of metrics demonstrate that (1) TagGen outperforms all baselines in the temporal interaction network generation problem, and (2) TagGen significantly boosts the performance of the prediction models in the tasks of anomaly detection and link prediction.</t>
  </si>
  <si>
    <t>https://dl.acm.org/doi/pdf/10.1145/3394486.3403082</t>
  </si>
  <si>
    <t>DYMOND: DYnamic MOtif-NoDes Network Generative Model</t>
  </si>
  <si>
    <t>Giselle Zeno, Timothy La Fond, Jennifer Neville</t>
  </si>
  <si>
    <t>Motifs, which have been established as building blocks for network structure, move beyond pair-wise connections to capture longer-range correlations in connections and activity. In spite of this, there are few generative graph models that consider higher-order network structures and even fewer that focus on using motifs in models of dynamic graphs. Most existing generative models for temporal graphs strictly grow the networks via edge addition, and the models are evaluated using static graph structure metrics—which do not adequately capture the temporal behavior of the network. To address these issues, in this work we propose DYnamic MOtif-NoDes (DYMOND)—a generative model that considers (i) the dynamic changes in overall graph structure using temporal motif activity and (ii) the roles nodes play in motifs (e.g., one node plays the hub role in a wedge, while the remaining two act as spokes). We compare DYMOND to three dynamic graph generative model baselines on real-world networks and show that DYMOND performs better at generating graph structure and node behavior similar to the observed network. We also propose a new methodology to adapt graph structure metrics to better evaluate the temporal aspect of the network. These metrics take into account the changes in overall graph structure and the individual nodes’ behavior over time.</t>
  </si>
  <si>
    <t>https://dl.acm.org/doi/pdf/10.1145/3442381.3450102</t>
  </si>
  <si>
    <t>Forward_2</t>
  </si>
  <si>
    <t>Forward Search</t>
  </si>
  <si>
    <t>1_IEEE_3</t>
  </si>
  <si>
    <t>Full-Text explanation</t>
  </si>
  <si>
    <t>Houssem Eddine Souid, Lucas Ody, Youssef Achenchabe, Valentin Lemaire, Gianmarco Aversano, Sabri Skhiri</t>
  </si>
  <si>
    <t>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t>
  </si>
  <si>
    <t>https://dl.acm.org/doi/10.1145/3642970.3655829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</si>
</sst>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2"/>
      <color theme="1"/>
      <name val="Calibri"/>
      <family val="2"/>
      <scheme val="minor"/>
    </font>
    <font>
      <b/>
      <sz val="16"/>
      <color theme="1"/>
      <name val="Calibri"/>
      <family val="2"/>
      <scheme val="minor"/>
    </font>
    <font>
      <u/>
      <sz val="11"/>
      <color theme="10"/>
      <name val="Calibri"/>
      <family val="2"/>
      <scheme val="minor"/>
    </font>
    <font>
      <sz val="10"/>
      <color theme="1"/>
      <name val="Arial"/>
      <family val="2"/>
    </font>
    <font>
      <sz val="8"/>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C00000"/>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9" tint="0.39997558519241921"/>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2" borderId="1" xfId="0" applyFont="1" applyFill="1" applyBorder="1"/>
    <xf numFmtId="0" fontId="1" fillId="2" borderId="2" xfId="0" applyFont="1" applyFill="1" applyBorder="1"/>
    <xf numFmtId="0" fontId="0" fillId="3" borderId="1" xfId="0" applyFill="1" applyBorder="1" applyAlignment="1">
      <alignment wrapText="1"/>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2" fillId="0" borderId="2" xfId="0" applyFont="1" applyBorder="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5" xfId="0" applyFont="1" applyBorder="1"/>
    <xf numFmtId="0" fontId="1" fillId="0" borderId="6" xfId="0" applyFont="1" applyBorder="1"/>
    <xf numFmtId="0" fontId="1" fillId="0" borderId="6" xfId="0" applyFont="1" applyBorder="1" applyAlignment="1">
      <alignment horizontal="left"/>
    </xf>
    <xf numFmtId="0" fontId="1" fillId="0" borderId="7" xfId="0" applyFont="1" applyBorder="1"/>
    <xf numFmtId="0" fontId="0" fillId="0" borderId="0" xfId="0" quotePrefix="1"/>
    <xf numFmtId="0" fontId="1" fillId="2" borderId="0" xfId="0" applyFont="1" applyFill="1"/>
    <xf numFmtId="0" fontId="0" fillId="0" borderId="0" xfId="0" applyAlignment="1">
      <alignment horizontal="center" vertical="center"/>
    </xf>
    <xf numFmtId="0" fontId="3" fillId="0" borderId="0" xfId="0" applyFont="1"/>
    <xf numFmtId="0" fontId="0" fillId="0" borderId="1" xfId="0" applyBorder="1"/>
    <xf numFmtId="0" fontId="0" fillId="0" borderId="2" xfId="0" applyBorder="1"/>
    <xf numFmtId="0" fontId="0" fillId="0" borderId="8" xfId="0" applyBorder="1"/>
    <xf numFmtId="0" fontId="3" fillId="0" borderId="4" xfId="0" applyFont="1" applyBorder="1" applyAlignment="1">
      <alignment horizontal="left" vertical="center"/>
    </xf>
    <xf numFmtId="0" fontId="0" fillId="3" borderId="5" xfId="0" applyFill="1" applyBorder="1" applyAlignment="1">
      <alignment wrapText="1"/>
    </xf>
    <xf numFmtId="0" fontId="2" fillId="0" borderId="6" xfId="0" applyFont="1" applyBorder="1" applyAlignment="1">
      <alignment horizontal="center" vertical="center"/>
    </xf>
    <xf numFmtId="0" fontId="0" fillId="3" borderId="1" xfId="0" applyFill="1" applyBorder="1" applyAlignment="1">
      <alignment horizontal="center" vertical="center" wrapText="1"/>
    </xf>
    <xf numFmtId="0" fontId="0" fillId="3" borderId="5" xfId="0" applyFill="1" applyBorder="1" applyAlignment="1">
      <alignment horizontal="center" vertical="center" wrapText="1"/>
    </xf>
    <xf numFmtId="0" fontId="4" fillId="0" borderId="0" xfId="1"/>
    <xf numFmtId="0" fontId="5" fillId="0" borderId="9" xfId="0" applyFont="1" applyBorder="1"/>
    <xf numFmtId="0" fontId="4" fillId="0" borderId="9" xfId="1" applyFill="1" applyBorder="1"/>
    <xf numFmtId="0" fontId="1" fillId="2" borderId="5" xfId="0" applyFont="1" applyFill="1" applyBorder="1"/>
    <xf numFmtId="0" fontId="1" fillId="2" borderId="6" xfId="0" applyFont="1" applyFill="1" applyBorder="1"/>
    <xf numFmtId="0" fontId="1" fillId="2" borderId="6" xfId="0" applyFont="1" applyFill="1" applyBorder="1" applyAlignment="1">
      <alignment horizontal="left"/>
    </xf>
    <xf numFmtId="0" fontId="1" fillId="2" borderId="7" xfId="0" applyFont="1" applyFill="1" applyBorder="1"/>
    <xf numFmtId="0" fontId="3" fillId="0" borderId="4" xfId="0" applyFont="1" applyBorder="1" applyAlignment="1">
      <alignment vertical="center"/>
    </xf>
    <xf numFmtId="0" fontId="0" fillId="4" borderId="0" xfId="0" applyFill="1"/>
  </cellXfs>
  <cellStyles count="2">
    <cellStyle name="Hyperlink" xfId="1" builtinId="8"/>
    <cellStyle name="Normal" xfId="0" builtinId="0"/>
  </cellStyles>
  <dxfs count="8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border outline="0">
        <top style="thin">
          <color rgb="FF9BC2E6"/>
        </top>
      </border>
    </dxf>
    <dxf>
      <font>
        <b val="0"/>
        <i val="0"/>
        <strike val="0"/>
        <condense val="0"/>
        <extend val="0"/>
        <outline val="0"/>
        <shadow val="0"/>
        <u val="none"/>
        <vertAlign val="baseline"/>
        <sz val="10"/>
        <color rgb="FF000000"/>
        <name val="Arial"/>
        <family val="2"/>
        <scheme val="none"/>
      </font>
      <fill>
        <patternFill patternType="none">
          <fgColor rgb="FF000000"/>
          <bgColor auto="1"/>
        </patternFill>
      </fill>
    </dxf>
    <dxf>
      <border outline="0">
        <bottom style="thin">
          <color rgb="FF9BC2E6"/>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theme="9" tint="0.39997558519241921"/>
        </left>
        <right/>
        <top style="thin">
          <color theme="9" tint="0.39997558519241921"/>
        </top>
        <bottom style="thin">
          <color theme="9" tint="0.39997558519241921"/>
        </bottom>
      </border>
    </dxf>
    <dxf>
      <numFmt numFmtId="0" formatCode="General"/>
      <fill>
        <patternFill patternType="none">
          <fgColor indexed="64"/>
          <bgColor auto="1"/>
        </patternFill>
      </fill>
    </dxf>
    <dxf>
      <border outline="0">
        <top style="thin">
          <color rgb="FF9BC2E6"/>
        </top>
      </border>
    </dxf>
    <dxf>
      <font>
        <b val="0"/>
        <i val="0"/>
        <strike val="0"/>
        <condense val="0"/>
        <extend val="0"/>
        <outline val="0"/>
        <shadow val="0"/>
        <u val="none"/>
        <vertAlign val="baseline"/>
        <sz val="10"/>
        <color rgb="FF000000"/>
        <name val="Arial"/>
        <family val="2"/>
        <scheme val="none"/>
      </font>
      <fill>
        <patternFill patternType="none">
          <fgColor rgb="FF000000"/>
          <bgColor auto="1"/>
        </patternFill>
      </fill>
    </dxf>
    <dxf>
      <border outline="0">
        <bottom style="thin">
          <color rgb="FF9BC2E6"/>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ill>
        <patternFill patternType="none">
          <fgColor indexed="64"/>
          <bgColor auto="1"/>
        </patternFill>
      </fill>
      <border diagonalUp="0" diagonalDown="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numFmt numFmtId="0" formatCode="General"/>
      <fill>
        <patternFill patternType="none">
          <fgColor indexed="64"/>
          <bgColor auto="1"/>
        </patternFill>
      </fill>
    </dxf>
    <dxf>
      <border outline="0">
        <top style="thin">
          <color rgb="FF9BC2E6"/>
        </top>
      </border>
    </dxf>
    <dxf>
      <font>
        <b val="0"/>
        <i val="0"/>
        <strike val="0"/>
        <condense val="0"/>
        <extend val="0"/>
        <outline val="0"/>
        <shadow val="0"/>
        <u val="none"/>
        <vertAlign val="baseline"/>
        <sz val="10"/>
        <color rgb="FF000000"/>
        <name val="Arial"/>
        <family val="2"/>
        <scheme val="none"/>
      </font>
      <fill>
        <patternFill patternType="none">
          <fgColor rgb="FF000000"/>
          <bgColor auto="1"/>
        </patternFill>
      </fill>
    </dxf>
    <dxf>
      <border outline="0">
        <bottom style="thin">
          <color rgb="FF9BC2E6"/>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numFmt numFmtId="0" formatCode="General"/>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theme="9" tint="0.39997558519241921"/>
        </left>
        <right/>
        <top style="thin">
          <color theme="9" tint="0.39997558519241921"/>
        </top>
        <bottom style="thin">
          <color theme="9" tint="0.39997558519241921"/>
        </bottom>
      </border>
    </dxf>
    <dxf>
      <numFmt numFmtId="0" formatCode="General"/>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numFmt numFmtId="0" formatCode="General"/>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5EE088-6D51-4A63-A5EA-F94C9F2FCC67}" name="Table6" displayName="Table6" ref="A1:M115" totalsRowShown="0">
  <autoFilter ref="A1:M115" xr:uid="{785EE088-6D51-4A63-A5EA-F94C9F2FCC67}">
    <filterColumn colId="3">
      <filters>
        <filter val="TRUE"/>
      </filters>
    </filterColumn>
    <filterColumn colId="7">
      <filters>
        <filter val="TRUE"/>
      </filters>
    </filterColumn>
    <filterColumn colId="8">
      <filters>
        <filter val="TRUE"/>
      </filters>
    </filterColumn>
  </autoFilter>
  <tableColumns count="13">
    <tableColumn id="1" xr3:uid="{23E9646C-A4BA-4F27-AB20-03A9232C8F96}" name="ID"/>
    <tableColumn id="9" xr3:uid="{172CB359-72DE-4855-B2CB-8B6C4D078879}" name="Valid"/>
    <tableColumn id="2" xr3:uid="{BC2BAF0D-4D81-4AD6-AB6E-922EA52EFB1B}" name="Article Title"/>
    <tableColumn id="10" xr3:uid="{CD90C2E5-C70A-4887-9264-2AFBFD3942B9}" name="Title Filter"/>
    <tableColumn id="3" xr3:uid="{DFE7A3EE-BC6A-4213-8A91-C4831337E851}" name="Authors"/>
    <tableColumn id="4" xr3:uid="{BAACA813-12D8-4BB6-8FCE-54277D6C81DA}" name="Author Keywords"/>
    <tableColumn id="5" xr3:uid="{D65114C0-EA64-46E3-8509-579F0DBBBB00}" name="Abstract"/>
    <tableColumn id="11" xr3:uid="{4D2A24A2-0295-48E5-9671-7D66717949E8}" name="Abstract Filter"/>
    <tableColumn id="12" xr3:uid="{070F5A5D-A2C7-4222-8258-EFE2A5BE24D2}" name="Full-Text Filter"/>
    <tableColumn id="13" xr3:uid="{190FB26E-DF47-49C4-8494-440807AD17E3}" name="Full-Text explanation"/>
    <tableColumn id="6" xr3:uid="{8DEE34F6-0D2D-45FE-989E-5D4367081E28}" name="Publication Year"/>
    <tableColumn id="7" xr3:uid="{275E3189-91AE-4A01-84CC-5078479B9824}" name="Citation Count"/>
    <tableColumn id="8" xr3:uid="{6EF8BF0D-DF62-4471-B97A-843331378FF6}" name="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DC2F2-62E4-4ABD-AFB3-741CBC2E9BD5}" name="Table1" displayName="Table1" ref="A1:H6" totalsRowShown="0" headerRowDxfId="88" dataDxfId="86" headerRowBorderDxfId="87" tableBorderDxfId="85">
  <autoFilter ref="A1:H6" xr:uid="{7DEDC2F2-62E4-4ABD-AFB3-741CBC2E9BD5}"/>
  <tableColumns count="8">
    <tableColumn id="1" xr3:uid="{B685F70D-87DE-45F4-9C08-A2F0078841BF}" name="ID" dataDxfId="84">
      <calculatedColumnFormula>"1_ACM_" &amp; ROW()-1</calculatedColumnFormula>
    </tableColumn>
    <tableColumn id="2" xr3:uid="{86D990F1-B44A-469C-AEC7-1A2B2E12242D}" name="Article Title" dataDxfId="83"/>
    <tableColumn id="3" xr3:uid="{FAD2E85F-64A1-4CAB-AAC8-39165815C677}" name="Authors" dataDxfId="82"/>
    <tableColumn id="4" xr3:uid="{DC7E056F-FAC5-4C40-95A8-F84B1C0D1B39}" name="Author Keywords" dataDxfId="81"/>
    <tableColumn id="5" xr3:uid="{26A69F74-9164-4083-90AC-4C6416A0B888}" name="Abstract" dataDxfId="80"/>
    <tableColumn id="6" xr3:uid="{00BEC880-98B2-415C-B64F-141707CB65B2}" name="Publication Year" dataDxfId="79"/>
    <tableColumn id="7" xr3:uid="{2C72316A-7739-4AAF-8718-58CCB67BDCD6}" name="Citation Count" dataDxfId="78"/>
    <tableColumn id="8" xr3:uid="{4B0FE100-4543-43EA-8D58-CE8F7077B96E}" name="Link" dataDxfId="7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93537E-ABC5-4CC5-815F-B92C0B39DA46}" name="Table3" displayName="Table3" ref="A1:H29" totalsRowShown="0" headerRowDxfId="76" dataDxfId="74" headerRowBorderDxfId="75" tableBorderDxfId="73">
  <autoFilter ref="A1:H29" xr:uid="{F893537E-ABC5-4CC5-815F-B92C0B39DA46}"/>
  <tableColumns count="8">
    <tableColumn id="1" xr3:uid="{3B0A9C71-7150-41D9-9D4D-D920B210F37F}" name="ID" dataDxfId="72">
      <calculatedColumnFormula>"1_IEEE_" &amp; ROW()-1</calculatedColumnFormula>
    </tableColumn>
    <tableColumn id="2" xr3:uid="{B204A226-DA95-479E-8894-2B40F063B2D4}" name="Article Title" dataDxfId="71"/>
    <tableColumn id="3" xr3:uid="{AA278FF7-06C8-4CC7-85DC-9D4A6BFE4195}" name="Authors" dataDxfId="70"/>
    <tableColumn id="4" xr3:uid="{3487A847-D74B-462F-BE54-7D05D766C0A2}" name="Author Keywords" dataDxfId="69"/>
    <tableColumn id="5" xr3:uid="{7BC1545E-8909-47C9-82CB-CAC6F74CBCAF}" name="Abstract" dataDxfId="68"/>
    <tableColumn id="6" xr3:uid="{EBCB4711-3AED-4750-AB51-BBF609EBC728}" name="Publication Year" dataDxfId="67"/>
    <tableColumn id="7" xr3:uid="{C913061B-37CA-4CB1-B40A-6EFF98CE4F29}" name="Citation Count" dataDxfId="66"/>
    <tableColumn id="8" xr3:uid="{66129A74-84F6-4217-94A8-4982B24F2E39}" name="Link" dataDxfId="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43EBEA-0A96-4B4B-8EA7-1D63BA35D4AC}" name="Table4" displayName="Table4" ref="A1:H94" totalsRowShown="0" headerRowDxfId="64" dataDxfId="62" headerRowBorderDxfId="63" tableBorderDxfId="61">
  <autoFilter ref="A1:H94" xr:uid="{2F43EBEA-0A96-4B4B-8EA7-1D63BA35D4AC}"/>
  <tableColumns count="8">
    <tableColumn id="1" xr3:uid="{BF51D82B-82BE-4760-8064-5B9F44E5F8F1}" name="ID" dataDxfId="60">
      <calculatedColumnFormula>"1_Scopus_" &amp; ROW()-1</calculatedColumnFormula>
    </tableColumn>
    <tableColumn id="2" xr3:uid="{8C19B9B2-D442-446C-8EB7-43580031E5AE}" name="Article Title" dataDxfId="59"/>
    <tableColumn id="3" xr3:uid="{8B359F16-1F91-47E8-922D-F102D30ED0D9}" name="Authors" dataDxfId="58"/>
    <tableColumn id="4" xr3:uid="{6D7D53B4-1800-4B51-B832-0D1DC9CBB63D}" name="Author Keywords" dataDxfId="57"/>
    <tableColumn id="5" xr3:uid="{1B99F21B-95F7-4442-89C4-279B7851B0A5}" name="Abstract" dataDxfId="56"/>
    <tableColumn id="6" xr3:uid="{A32BD59F-C53C-4A30-AF31-F191F8D2AAD0}" name="Publication Year" dataDxfId="55"/>
    <tableColumn id="7" xr3:uid="{706F987D-1592-48D7-A343-8AEE23A1F785}" name="Citation Count" dataDxfId="54"/>
    <tableColumn id="8" xr3:uid="{776BA48E-8EF2-4881-AD57-CB6DEC553DFF}" name="Link" dataDxfId="5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FB1DBF-B30D-49CF-B1FB-865B448F4CCE}" name="Table2" displayName="Table2" ref="A1:H44" totalsRowShown="0">
  <autoFilter ref="A1:H44" xr:uid="{2BFB1DBF-B30D-49CF-B1FB-865B448F4CCE}"/>
  <tableColumns count="8">
    <tableColumn id="8" xr3:uid="{7A01EE2E-34FB-4CD7-9246-63924D0F23D6}" name="ID" dataDxfId="52">
      <calculatedColumnFormula>"1_WoS_" &amp; ROW()-1</calculatedColumnFormula>
    </tableColumn>
    <tableColumn id="2" xr3:uid="{7A926418-BAE6-4349-8C9D-0E1E2265271D}" name="Article Title"/>
    <tableColumn id="1" xr3:uid="{2AC6765E-2C94-4C65-AFB2-38982C216F4B}" name="Authors"/>
    <tableColumn id="3" xr3:uid="{8FD555E2-76FB-4812-BD25-E29848CF09F4}" name="Author Keywords"/>
    <tableColumn id="4" xr3:uid="{776D3069-6CD0-4EE1-89A1-F1B0FAB4B136}" name="Abstract"/>
    <tableColumn id="5" xr3:uid="{3EE2B1EA-9D0B-4366-8EF7-625D2B6B104E}" name="Publication Year" dataDxfId="51"/>
    <tableColumn id="7" xr3:uid="{B3005F76-3B98-4732-B117-E4E126B4F0DE}" name="Citation Count" dataDxfId="50"/>
    <tableColumn id="6" xr3:uid="{C74CF8FB-639F-44EE-A2AC-63ED65727894}" name="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B7DA073-19AC-4D2B-9559-BC7FE260DC97}" name="Table16" displayName="Table16" ref="A1:H3" totalsRowShown="0" headerRowDxfId="49" dataDxfId="47" headerRowBorderDxfId="48" tableBorderDxfId="46">
  <autoFilter ref="A1:H3" xr:uid="{7DEDC2F2-62E4-4ABD-AFB3-741CBC2E9BD5}"/>
  <tableColumns count="8">
    <tableColumn id="1" xr3:uid="{45BA9B02-4443-4E40-AE52-B1DD11B8CC0E}" name="ID" dataDxfId="45">
      <calculatedColumnFormula>"2_ACM_" &amp; ROW()-1</calculatedColumnFormula>
    </tableColumn>
    <tableColumn id="2" xr3:uid="{5F6934F2-556D-4217-9014-5604D3782752}" name="Article Title"/>
    <tableColumn id="3" xr3:uid="{B8F12C71-20CA-4B47-A86C-699302EC4309}" name="Authors" dataDxfId="44"/>
    <tableColumn id="4" xr3:uid="{96441F88-463F-4AE0-B4DF-B8C97C1E5359}" name="Author Keywords" dataDxfId="43"/>
    <tableColumn id="5" xr3:uid="{A76BEB0C-C985-4D2E-BB46-544FA1AA225F}" name="Abstract" dataDxfId="42"/>
    <tableColumn id="6" xr3:uid="{512B6BED-45FE-4B62-9D9B-B030D50AD91D}" name="Publication Year" dataDxfId="41"/>
    <tableColumn id="7" xr3:uid="{1B75A923-9E2D-4F65-B649-12031740EB21}" name="Citation Count" dataDxfId="40"/>
    <tableColumn id="8" xr3:uid="{B64DE88C-F634-4D8D-AF52-5B44AC8321FC}" name="Link" dataDxfId="39" dataCellStyle="Hyperlink"/>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75DF0E-7C61-4603-B707-F979C2EF14D6}" name="Table38" displayName="Table38" ref="A1:H8" totalsRowShown="0" headerRowDxfId="38" dataDxfId="36" headerRowBorderDxfId="37" tableBorderDxfId="35">
  <autoFilter ref="A1:H8" xr:uid="{F893537E-ABC5-4CC5-815F-B92C0B39DA46}"/>
  <tableColumns count="8">
    <tableColumn id="1" xr3:uid="{0E99EB44-8562-4BB9-A724-46158C668CAB}" name="ID" dataDxfId="34">
      <calculatedColumnFormula>"2_IEEE_" &amp; ROW()-1</calculatedColumnFormula>
    </tableColumn>
    <tableColumn id="2" xr3:uid="{6DD255EB-E06C-4E43-98CA-BEEDD62D592B}" name="Article Title" dataDxfId="33"/>
    <tableColumn id="3" xr3:uid="{00E81A15-9714-46FA-A661-AE0E51D35BF0}" name="Authors" dataDxfId="32"/>
    <tableColumn id="4" xr3:uid="{B4AF9B7B-E9A0-48FD-BF84-FB0907E4C566}" name="Author Keywords" dataDxfId="31"/>
    <tableColumn id="5" xr3:uid="{702ACDB7-8666-4CA6-8096-BF8A17989470}" name="Abstract" dataDxfId="30"/>
    <tableColumn id="6" xr3:uid="{D720CA2C-D2A7-4169-BB18-5AA30604DB28}" name="Publication Year" dataDxfId="29"/>
    <tableColumn id="7" xr3:uid="{18A417FD-A8DC-45F8-8EF0-D00B60D12EA5}" name="Citation Count" dataDxfId="28"/>
    <tableColumn id="8" xr3:uid="{9FE4D998-731A-48C6-95AA-1DD93B98774C}" name="Link" dataDxfId="2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2091E0-AE92-47F4-9BAA-8D0B4399C27B}" name="Table49" displayName="Table49" ref="A1:H30" totalsRowShown="0" headerRowDxfId="26" dataDxfId="24" headerRowBorderDxfId="25" tableBorderDxfId="23">
  <autoFilter ref="A1:H30" xr:uid="{2F43EBEA-0A96-4B4B-8EA7-1D63BA35D4AC}"/>
  <tableColumns count="8">
    <tableColumn id="1" xr3:uid="{79A17E6E-3157-4183-9E2D-3B696DE5F373}" name="ID" dataDxfId="22">
      <calculatedColumnFormula>"Scopus_" &amp; ROW()-1</calculatedColumnFormula>
    </tableColumn>
    <tableColumn id="2" xr3:uid="{017C8EEF-955B-4FC1-8331-518C1B4EB5C6}" name="Article Title" dataDxfId="21"/>
    <tableColumn id="3" xr3:uid="{CA77429B-1C53-4F9A-92EE-AA5AF2D2160C}" name="Authors" dataDxfId="20"/>
    <tableColumn id="4" xr3:uid="{4E0030C4-9A13-4716-8259-B7EFC6F32BDD}" name="Author Keywords" dataDxfId="19"/>
    <tableColumn id="5" xr3:uid="{2CA73B54-436C-4AED-8703-552B6C527746}" name="Abstract" dataDxfId="18"/>
    <tableColumn id="6" xr3:uid="{729938FB-C09A-42E5-B028-C709A0D2CD53}" name="Publication Year" dataDxfId="17"/>
    <tableColumn id="7" xr3:uid="{6F315969-6D67-4276-A4C8-C80030B077AC}" name="Citation Count" dataDxfId="16"/>
    <tableColumn id="8" xr3:uid="{53F51E99-3562-4E18-8CB6-356CD5C90087}" name="Link" dataDxfId="1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E7675E-4EB8-4980-B63E-CF7CBA9AD68F}" name="Table210" displayName="Table210" ref="A1:H10" totalsRowShown="0">
  <autoFilter ref="A1:H10" xr:uid="{2BFB1DBF-B30D-49CF-B1FB-865B448F4CCE}"/>
  <tableColumns count="8">
    <tableColumn id="8" xr3:uid="{658979B8-4439-486C-8A88-9B429B3C97F8}" name="ID" dataDxfId="14">
      <calculatedColumnFormula>"2_WoS_" &amp; ROW()-1</calculatedColumnFormula>
    </tableColumn>
    <tableColumn id="2" xr3:uid="{A4B498DB-1058-4023-9535-842EDADED03B}" name="Article Title"/>
    <tableColumn id="1" xr3:uid="{859A235A-6FB7-4B81-A005-1F375A577F40}" name="Authors" dataDxfId="13"/>
    <tableColumn id="3" xr3:uid="{7A33218B-7570-4E9A-9B82-0089FFDC4A81}" name="Author Keywords" dataDxfId="12"/>
    <tableColumn id="4" xr3:uid="{2E36B0C1-4030-4F62-8148-B3288C38B74E}" name="Abstract" dataDxfId="11"/>
    <tableColumn id="5" xr3:uid="{CE473B6B-C25B-4537-9ECF-69EE0A203FEE}" name="Publication Year" dataDxfId="10"/>
    <tableColumn id="7" xr3:uid="{AB9D99D0-0EB6-4788-98C5-AD29DD27CCB5}" name="Citation Count" dataDxfId="9"/>
    <tableColumn id="6" xr3:uid="{66BF1B0C-9430-4152-A127-2EC06EC28A14}" name="Lin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EE13567-8563-4E41-81B0-B8D37FD565F8}" name="Table11" displayName="Table11" ref="A1:H4" totalsRowShown="0" headerRowDxfId="8" headerRowBorderDxfId="7" tableBorderDxfId="6">
  <autoFilter ref="A1:H4" xr:uid="{AEE13567-8563-4E41-81B0-B8D37FD565F8}"/>
  <tableColumns count="8">
    <tableColumn id="1" xr3:uid="{F4BFF0CD-B579-45F3-89BA-BA2207518DAE}" name="ID">
      <calculatedColumnFormula>"Forward_" &amp; ROW()-1</calculatedColumnFormula>
    </tableColumn>
    <tableColumn id="2" xr3:uid="{25894B76-C742-40F6-ACDF-727BA7B968C3}" name="Article Title"/>
    <tableColumn id="3" xr3:uid="{E42907E2-FA61-4D99-862C-B02AC7C055A1}" name="Authors"/>
    <tableColumn id="4" xr3:uid="{CA92C128-10ED-44CD-8C65-5E2773F6B391}" name="Author Keywords"/>
    <tableColumn id="5" xr3:uid="{002EEA93-6EE3-4073-96AE-C0F82EB272E9}" name="Abstract"/>
    <tableColumn id="6" xr3:uid="{B8C62EB7-09F7-4563-895F-73C5B56CB941}" name="Publication Year"/>
    <tableColumn id="7" xr3:uid="{A49E8A69-0A2E-4B3D-820C-11AB7CA3FFAB}" name="Citation Count"/>
    <tableColumn id="8" xr3:uid="{5CD31EF8-12BC-42F7-9AD3-37182BF420A3}" name="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l.acm.org/doi/10.1145/3642970.3655829"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dl.acm.org/doi/pdf/10.1145/3409262" TargetMode="External"/><Relationship Id="rId1" Type="http://schemas.openxmlformats.org/officeDocument/2006/relationships/hyperlink" Target="https://dl.acm.org/doi/pdf/10.1145/3534678.3542626"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hyperlink" Target="https://dl.acm.org/doi/10.1145/3642970.3655829" TargetMode="External"/><Relationship Id="rId2" Type="http://schemas.openxmlformats.org/officeDocument/2006/relationships/hyperlink" Target="https://dl.acm.org/doi/pdf/10.1145/3442381.3450102" TargetMode="External"/><Relationship Id="rId1" Type="http://schemas.openxmlformats.org/officeDocument/2006/relationships/hyperlink" Target="https://dl.acm.org/doi/pdf/10.1145/3394486.3403082" TargetMode="External"/><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activeCell="B7" sqref="B7"/>
    </sheetView>
  </sheetViews>
  <sheetFormatPr baseColWidth="10" defaultColWidth="8.83203125" defaultRowHeight="15" x14ac:dyDescent="0.2"/>
  <cols>
    <col min="1" max="1" width="4.1640625" customWidth="1"/>
    <col min="2" max="2" width="59.33203125" customWidth="1"/>
    <col min="3" max="5" width="18" customWidth="1"/>
    <col min="6" max="6" width="19.6640625" customWidth="1"/>
    <col min="7" max="7" width="16.33203125" customWidth="1"/>
    <col min="8" max="8" width="20.5" customWidth="1"/>
    <col min="9" max="9" width="15.1640625" customWidth="1"/>
  </cols>
  <sheetData>
    <row r="1" spans="1:9" ht="21" x14ac:dyDescent="0.25">
      <c r="A1" s="16" t="s">
        <v>763</v>
      </c>
    </row>
    <row r="2" spans="1:9" x14ac:dyDescent="0.2">
      <c r="A2" t="s">
        <v>6</v>
      </c>
    </row>
    <row r="3" spans="1:9" x14ac:dyDescent="0.2">
      <c r="A3" t="s">
        <v>7</v>
      </c>
    </row>
    <row r="5" spans="1:9" x14ac:dyDescent="0.2">
      <c r="A5" s="1" t="s">
        <v>184</v>
      </c>
      <c r="B5" s="1" t="s">
        <v>0</v>
      </c>
      <c r="C5" s="2" t="s">
        <v>1</v>
      </c>
      <c r="D5" s="2" t="s">
        <v>2</v>
      </c>
      <c r="E5" s="2" t="s">
        <v>3</v>
      </c>
      <c r="F5" s="2" t="s">
        <v>4</v>
      </c>
      <c r="G5" s="14" t="s">
        <v>551</v>
      </c>
    </row>
    <row r="6" spans="1:9" ht="32" x14ac:dyDescent="0.2">
      <c r="A6" s="23">
        <v>1</v>
      </c>
      <c r="B6" s="3" t="s">
        <v>745</v>
      </c>
      <c r="C6" s="6">
        <v>5</v>
      </c>
      <c r="D6" s="6">
        <v>28</v>
      </c>
      <c r="E6" s="6">
        <v>93</v>
      </c>
      <c r="F6" s="6">
        <v>43</v>
      </c>
      <c r="G6" s="15">
        <f>SUM(C6:F6)</f>
        <v>169</v>
      </c>
    </row>
    <row r="7" spans="1:9" ht="33" thickBot="1" x14ac:dyDescent="0.25">
      <c r="A7" s="24">
        <v>2</v>
      </c>
      <c r="B7" s="21" t="s">
        <v>785</v>
      </c>
      <c r="C7" s="22">
        <v>2</v>
      </c>
      <c r="D7" s="22">
        <v>7</v>
      </c>
      <c r="E7" s="22">
        <v>29</v>
      </c>
      <c r="F7" s="22">
        <v>9</v>
      </c>
      <c r="G7" s="15">
        <f>SUM(C7:F7)</f>
        <v>47</v>
      </c>
    </row>
    <row r="8" spans="1:9" ht="23" thickTop="1" thickBot="1" x14ac:dyDescent="0.25">
      <c r="A8" s="4" t="s">
        <v>5</v>
      </c>
      <c r="B8" s="5"/>
      <c r="C8" s="5">
        <f>SUM(C6:C7)</f>
        <v>7</v>
      </c>
      <c r="D8" s="5">
        <f>SUM(D6:D7)</f>
        <v>35</v>
      </c>
      <c r="E8" s="5">
        <f>SUM(E6:E7)</f>
        <v>122</v>
      </c>
      <c r="F8" s="5">
        <f>SUM(F6:F7)</f>
        <v>52</v>
      </c>
      <c r="G8" s="5">
        <f>SUM(C8:F8)</f>
        <v>216</v>
      </c>
    </row>
    <row r="9" spans="1:9" ht="23" thickTop="1" thickBot="1" x14ac:dyDescent="0.25">
      <c r="A9" s="5"/>
      <c r="B9" s="5"/>
      <c r="C9" s="5"/>
      <c r="D9" s="5"/>
      <c r="E9" s="5"/>
      <c r="F9" s="20" t="s">
        <v>552</v>
      </c>
      <c r="G9" s="5">
        <f>COUNTIFS(Table6[ID],"&lt;&gt;""",Table6[ID],"&lt;&gt;*Forward*")</f>
        <v>111</v>
      </c>
    </row>
    <row r="10" spans="1:9" ht="23" thickTop="1" thickBot="1" x14ac:dyDescent="0.25">
      <c r="F10" s="20" t="s">
        <v>761</v>
      </c>
      <c r="G10" s="5">
        <f>COUNTIFS(Table6[Valid],TRUE,Table6[ID],"&lt;&gt;*Forward*")</f>
        <v>99</v>
      </c>
    </row>
    <row r="11" spans="1:9" ht="23" thickTop="1" thickBot="1" x14ac:dyDescent="0.25">
      <c r="F11" s="20" t="s">
        <v>770</v>
      </c>
      <c r="G11" s="5">
        <f>COUNTIFS(Table6[Valid],TRUE,Table6[Title Filter],TRUE,Table6[ID],"&lt;&gt;*Forward*")</f>
        <v>43</v>
      </c>
    </row>
    <row r="12" spans="1:9" ht="23" thickTop="1" thickBot="1" x14ac:dyDescent="0.25">
      <c r="F12" s="20" t="s">
        <v>769</v>
      </c>
      <c r="G12" s="5">
        <f>COUNTIFS(Table6[Valid],TRUE,Table6[Title Filter],TRUE,Table6[Abstract Filter],TRUE,Table6[ID],"&lt;&gt;*Forward*")</f>
        <v>11</v>
      </c>
    </row>
    <row r="13" spans="1:9" ht="23" thickTop="1" thickBot="1" x14ac:dyDescent="0.25">
      <c r="F13" s="20" t="s">
        <v>784</v>
      </c>
      <c r="G13" s="5">
        <f>COUNTIFS(Table6[Valid],TRUE,Table6[Title Filter],TRUE,Table6[Abstract Filter],TRUE,Table6[Full-Text Filter],TRUE,Table6[ID],"&lt;&gt;*Forward*")</f>
        <v>3</v>
      </c>
      <c r="H13" s="20" t="s">
        <v>961</v>
      </c>
      <c r="I13" s="5">
        <f>COUNTIFS(Table6[Valid],TRUE,Table6[Title Filter],TRUE,Table6[Abstract Filter],TRUE,Table6[Full-Text Filter],TRUE,Table6[ID],"*Forward*")</f>
        <v>3</v>
      </c>
    </row>
    <row r="14" spans="1:9" ht="22" thickTop="1" x14ac:dyDescent="0.2">
      <c r="F14" s="32" t="s">
        <v>551</v>
      </c>
      <c r="G14" s="5">
        <f>SUM(G13,I13)</f>
        <v>6</v>
      </c>
      <c r="H14" s="20"/>
      <c r="I14" s="5"/>
    </row>
    <row r="16" spans="1:9" ht="21" x14ac:dyDescent="0.25">
      <c r="A16" s="16" t="s">
        <v>764</v>
      </c>
    </row>
    <row r="17" spans="1:1" x14ac:dyDescent="0.2">
      <c r="A17" s="13" t="s">
        <v>765</v>
      </c>
    </row>
    <row r="18" spans="1:1" x14ac:dyDescent="0.2">
      <c r="A18" s="13" t="s">
        <v>766</v>
      </c>
    </row>
    <row r="19" spans="1:1" x14ac:dyDescent="0.2">
      <c r="A19" s="13" t="s">
        <v>767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35F8-C2ED-4782-BB7C-644FC0E3CB28}">
  <dimension ref="A1:M115"/>
  <sheetViews>
    <sheetView workbookViewId="0">
      <selection activeCell="C116" sqref="C116"/>
    </sheetView>
  </sheetViews>
  <sheetFormatPr baseColWidth="10" defaultColWidth="8.83203125" defaultRowHeight="15" x14ac:dyDescent="0.2"/>
  <cols>
    <col min="3" max="3" width="67.6640625" customWidth="1"/>
    <col min="4" max="4" width="17" customWidth="1"/>
    <col min="5" max="5" width="27.5" customWidth="1"/>
    <col min="6" max="6" width="17.6640625" customWidth="1"/>
    <col min="7" max="7" width="85.33203125" customWidth="1"/>
    <col min="8" max="9" width="18.6640625" customWidth="1"/>
    <col min="10" max="10" width="55.1640625" customWidth="1"/>
    <col min="11" max="11" width="17" customWidth="1"/>
    <col min="12" max="12" width="15.33203125" customWidth="1"/>
    <col min="13" max="13" width="50.6640625" customWidth="1"/>
  </cols>
  <sheetData>
    <row r="1" spans="1:13" x14ac:dyDescent="0.2">
      <c r="A1" t="s">
        <v>184</v>
      </c>
      <c r="B1" t="s">
        <v>761</v>
      </c>
      <c r="C1" t="s">
        <v>50</v>
      </c>
      <c r="D1" t="s">
        <v>762</v>
      </c>
      <c r="E1" t="s">
        <v>8</v>
      </c>
      <c r="F1" t="s">
        <v>101</v>
      </c>
      <c r="G1" t="s">
        <v>137</v>
      </c>
      <c r="H1" t="s">
        <v>768</v>
      </c>
      <c r="I1" t="s">
        <v>779</v>
      </c>
      <c r="J1" t="s">
        <v>963</v>
      </c>
      <c r="K1" t="s">
        <v>181</v>
      </c>
      <c r="L1" t="s">
        <v>183</v>
      </c>
      <c r="M1" t="s">
        <v>272</v>
      </c>
    </row>
    <row r="2" spans="1:13" hidden="1" x14ac:dyDescent="0.2">
      <c r="A2" t="s">
        <v>553</v>
      </c>
      <c r="B2" t="b">
        <v>1</v>
      </c>
      <c r="C2" t="s">
        <v>190</v>
      </c>
      <c r="D2" t="b">
        <v>1</v>
      </c>
      <c r="E2" t="s">
        <v>185</v>
      </c>
      <c r="F2" t="s">
        <v>203</v>
      </c>
      <c r="G2" t="s">
        <v>732</v>
      </c>
      <c r="H2" t="b">
        <v>0</v>
      </c>
      <c r="K2">
        <v>2022</v>
      </c>
      <c r="L2">
        <v>1</v>
      </c>
      <c r="M2" t="s">
        <v>195</v>
      </c>
    </row>
    <row r="3" spans="1:13" hidden="1" x14ac:dyDescent="0.2">
      <c r="A3" t="s">
        <v>554</v>
      </c>
      <c r="B3" t="b">
        <v>1</v>
      </c>
      <c r="C3" t="s">
        <v>191</v>
      </c>
      <c r="D3" t="b">
        <v>0</v>
      </c>
      <c r="E3" t="s">
        <v>186</v>
      </c>
      <c r="F3" t="s">
        <v>203</v>
      </c>
      <c r="G3" t="s">
        <v>200</v>
      </c>
      <c r="K3">
        <v>2024</v>
      </c>
      <c r="L3">
        <v>0</v>
      </c>
      <c r="M3" t="s">
        <v>196</v>
      </c>
    </row>
    <row r="4" spans="1:13" hidden="1" x14ac:dyDescent="0.2">
      <c r="A4" t="s">
        <v>555</v>
      </c>
      <c r="B4" t="b">
        <v>1</v>
      </c>
      <c r="C4" t="s">
        <v>193</v>
      </c>
      <c r="D4" t="b">
        <v>1</v>
      </c>
      <c r="E4" t="s">
        <v>188</v>
      </c>
      <c r="F4" t="s">
        <v>203</v>
      </c>
      <c r="G4" t="s">
        <v>202</v>
      </c>
      <c r="H4" t="b">
        <v>0</v>
      </c>
      <c r="K4">
        <v>2020</v>
      </c>
      <c r="L4">
        <v>4</v>
      </c>
      <c r="M4" t="s">
        <v>198</v>
      </c>
    </row>
    <row r="5" spans="1:13" hidden="1" x14ac:dyDescent="0.2">
      <c r="A5" t="s">
        <v>556</v>
      </c>
      <c r="B5" t="b">
        <v>1</v>
      </c>
      <c r="C5" t="s">
        <v>192</v>
      </c>
      <c r="D5" t="b">
        <v>1</v>
      </c>
      <c r="E5" t="s">
        <v>187</v>
      </c>
      <c r="F5" t="s">
        <v>203</v>
      </c>
      <c r="G5" t="s">
        <v>201</v>
      </c>
      <c r="H5" t="b">
        <v>0</v>
      </c>
      <c r="K5">
        <v>2021</v>
      </c>
      <c r="L5">
        <v>11</v>
      </c>
      <c r="M5" t="s">
        <v>197</v>
      </c>
    </row>
    <row r="6" spans="1:13" hidden="1" x14ac:dyDescent="0.2">
      <c r="A6" t="s">
        <v>557</v>
      </c>
      <c r="B6" t="b">
        <v>1</v>
      </c>
      <c r="C6" t="s">
        <v>194</v>
      </c>
      <c r="D6" t="b">
        <v>0</v>
      </c>
      <c r="E6" t="s">
        <v>189</v>
      </c>
      <c r="F6" t="s">
        <v>203</v>
      </c>
      <c r="G6" t="s">
        <v>175</v>
      </c>
      <c r="K6">
        <v>2021</v>
      </c>
      <c r="L6">
        <v>9</v>
      </c>
      <c r="M6" t="s">
        <v>199</v>
      </c>
    </row>
    <row r="7" spans="1:13" hidden="1" x14ac:dyDescent="0.2">
      <c r="A7" t="s">
        <v>558</v>
      </c>
      <c r="B7" t="b">
        <v>1</v>
      </c>
      <c r="C7" t="s">
        <v>204</v>
      </c>
      <c r="D7" t="b">
        <v>0</v>
      </c>
      <c r="E7" t="s">
        <v>627</v>
      </c>
      <c r="F7" t="s">
        <v>250</v>
      </c>
      <c r="G7" t="s">
        <v>212</v>
      </c>
      <c r="K7">
        <v>2023</v>
      </c>
      <c r="L7">
        <v>0</v>
      </c>
      <c r="M7" t="s">
        <v>222</v>
      </c>
    </row>
    <row r="8" spans="1:13" hidden="1" x14ac:dyDescent="0.2">
      <c r="A8" t="s">
        <v>559</v>
      </c>
      <c r="B8" t="b">
        <v>1</v>
      </c>
      <c r="C8" t="s">
        <v>53</v>
      </c>
      <c r="D8" t="b">
        <v>1</v>
      </c>
      <c r="E8" t="s">
        <v>626</v>
      </c>
      <c r="F8" t="s">
        <v>249</v>
      </c>
      <c r="G8" t="s">
        <v>140</v>
      </c>
      <c r="H8" t="b">
        <v>1</v>
      </c>
      <c r="I8" t="b">
        <v>0</v>
      </c>
      <c r="J8" t="s">
        <v>783</v>
      </c>
      <c r="K8">
        <v>2020</v>
      </c>
      <c r="L8">
        <v>0</v>
      </c>
      <c r="M8" t="s">
        <v>221</v>
      </c>
    </row>
    <row r="9" spans="1:13" hidden="1" x14ac:dyDescent="0.2">
      <c r="A9" t="s">
        <v>962</v>
      </c>
      <c r="B9" t="b">
        <v>1</v>
      </c>
      <c r="C9" t="s">
        <v>62</v>
      </c>
      <c r="D9" t="b">
        <v>1</v>
      </c>
      <c r="E9" t="s">
        <v>629</v>
      </c>
      <c r="F9" t="s">
        <v>252</v>
      </c>
      <c r="G9" t="s">
        <v>147</v>
      </c>
      <c r="H9" t="b">
        <v>1</v>
      </c>
      <c r="I9" t="b">
        <v>0</v>
      </c>
      <c r="J9" t="s">
        <v>783</v>
      </c>
      <c r="K9">
        <v>2022</v>
      </c>
      <c r="L9">
        <v>0</v>
      </c>
      <c r="M9" t="s">
        <v>224</v>
      </c>
    </row>
    <row r="10" spans="1:13" hidden="1" x14ac:dyDescent="0.2">
      <c r="A10" t="s">
        <v>560</v>
      </c>
      <c r="B10" t="b">
        <v>1</v>
      </c>
      <c r="C10" t="s">
        <v>86</v>
      </c>
      <c r="D10" t="b">
        <v>1</v>
      </c>
      <c r="E10" t="s">
        <v>646</v>
      </c>
      <c r="F10" t="s">
        <v>267</v>
      </c>
      <c r="G10" t="s">
        <v>169</v>
      </c>
      <c r="H10" t="b">
        <v>1</v>
      </c>
      <c r="I10" t="b">
        <v>0</v>
      </c>
      <c r="J10" t="s">
        <v>780</v>
      </c>
      <c r="K10">
        <v>2023</v>
      </c>
      <c r="L10">
        <v>3</v>
      </c>
      <c r="M10" t="s">
        <v>243</v>
      </c>
    </row>
    <row r="11" spans="1:13" hidden="1" x14ac:dyDescent="0.2">
      <c r="A11" t="s">
        <v>561</v>
      </c>
      <c r="B11" t="b">
        <v>1</v>
      </c>
      <c r="C11" t="s">
        <v>66</v>
      </c>
      <c r="D11" t="b">
        <v>1</v>
      </c>
      <c r="E11" t="s">
        <v>626</v>
      </c>
      <c r="F11" t="s">
        <v>253</v>
      </c>
      <c r="G11" t="s">
        <v>151</v>
      </c>
      <c r="H11" t="b">
        <v>0</v>
      </c>
      <c r="K11">
        <v>2021</v>
      </c>
      <c r="L11">
        <v>3</v>
      </c>
      <c r="M11" t="s">
        <v>225</v>
      </c>
    </row>
    <row r="12" spans="1:13" hidden="1" x14ac:dyDescent="0.2">
      <c r="A12" t="s">
        <v>562</v>
      </c>
      <c r="B12" t="b">
        <v>1</v>
      </c>
      <c r="C12" t="s">
        <v>55</v>
      </c>
      <c r="D12" t="b">
        <v>0</v>
      </c>
      <c r="E12" t="s">
        <v>628</v>
      </c>
      <c r="F12" t="s">
        <v>251</v>
      </c>
      <c r="G12" t="s">
        <v>142</v>
      </c>
      <c r="K12">
        <v>2022</v>
      </c>
      <c r="L12">
        <v>4</v>
      </c>
      <c r="M12" t="s">
        <v>223</v>
      </c>
    </row>
    <row r="13" spans="1:13" hidden="1" x14ac:dyDescent="0.2">
      <c r="A13" t="s">
        <v>563</v>
      </c>
      <c r="B13" t="b">
        <v>1</v>
      </c>
      <c r="C13" t="s">
        <v>68</v>
      </c>
      <c r="D13" t="b">
        <v>0</v>
      </c>
      <c r="E13" t="s">
        <v>633</v>
      </c>
      <c r="F13" t="s">
        <v>104</v>
      </c>
      <c r="G13" t="s">
        <v>153</v>
      </c>
      <c r="K13">
        <v>2020</v>
      </c>
      <c r="L13">
        <v>10</v>
      </c>
      <c r="M13" t="s">
        <v>229</v>
      </c>
    </row>
    <row r="14" spans="1:13" hidden="1" x14ac:dyDescent="0.2">
      <c r="A14" t="s">
        <v>564</v>
      </c>
      <c r="B14" t="b">
        <v>1</v>
      </c>
      <c r="C14" t="s">
        <v>58</v>
      </c>
      <c r="D14" t="b">
        <v>1</v>
      </c>
      <c r="E14" t="s">
        <v>631</v>
      </c>
      <c r="F14" t="s">
        <v>255</v>
      </c>
      <c r="G14" t="s">
        <v>144</v>
      </c>
      <c r="H14" t="b">
        <v>0</v>
      </c>
      <c r="K14">
        <v>2024</v>
      </c>
      <c r="L14">
        <v>2</v>
      </c>
      <c r="M14" t="s">
        <v>227</v>
      </c>
    </row>
    <row r="15" spans="1:13" hidden="1" x14ac:dyDescent="0.2">
      <c r="A15" t="s">
        <v>565</v>
      </c>
      <c r="B15" t="b">
        <v>1</v>
      </c>
      <c r="C15" t="s">
        <v>60</v>
      </c>
      <c r="D15" t="b">
        <v>1</v>
      </c>
      <c r="E15" t="s">
        <v>632</v>
      </c>
      <c r="F15" t="s">
        <v>256</v>
      </c>
      <c r="G15" t="s">
        <v>213</v>
      </c>
      <c r="H15" t="b">
        <v>0</v>
      </c>
      <c r="K15">
        <v>2024</v>
      </c>
      <c r="L15">
        <v>0</v>
      </c>
      <c r="M15" t="s">
        <v>228</v>
      </c>
    </row>
    <row r="16" spans="1:13" x14ac:dyDescent="0.2">
      <c r="A16" t="s">
        <v>786</v>
      </c>
      <c r="B16" t="b">
        <v>1</v>
      </c>
      <c r="C16" t="s">
        <v>72</v>
      </c>
      <c r="D16" t="b">
        <v>1</v>
      </c>
      <c r="E16" t="s">
        <v>641</v>
      </c>
      <c r="F16" t="s">
        <v>263</v>
      </c>
      <c r="G16" t="s">
        <v>157</v>
      </c>
      <c r="H16" t="b">
        <v>1</v>
      </c>
      <c r="I16" t="b">
        <v>1</v>
      </c>
      <c r="K16">
        <v>2023</v>
      </c>
      <c r="L16">
        <v>85</v>
      </c>
      <c r="M16" t="s">
        <v>238</v>
      </c>
    </row>
    <row r="17" spans="1:13" hidden="1" x14ac:dyDescent="0.2">
      <c r="A17" t="s">
        <v>566</v>
      </c>
      <c r="B17" t="b">
        <v>1</v>
      </c>
      <c r="C17" t="s">
        <v>81</v>
      </c>
      <c r="D17" t="b">
        <v>0</v>
      </c>
      <c r="E17" t="s">
        <v>644</v>
      </c>
      <c r="F17" t="s">
        <v>104</v>
      </c>
      <c r="G17" t="s">
        <v>165</v>
      </c>
      <c r="K17">
        <v>2023</v>
      </c>
      <c r="L17">
        <v>0</v>
      </c>
      <c r="M17" t="s">
        <v>241</v>
      </c>
    </row>
    <row r="18" spans="1:13" hidden="1" x14ac:dyDescent="0.2">
      <c r="A18" t="s">
        <v>567</v>
      </c>
      <c r="B18" t="b">
        <v>1</v>
      </c>
      <c r="C18" t="s">
        <v>207</v>
      </c>
      <c r="D18" t="b">
        <v>0</v>
      </c>
      <c r="E18" t="s">
        <v>635</v>
      </c>
      <c r="F18" t="s">
        <v>104</v>
      </c>
      <c r="G18" t="s">
        <v>215</v>
      </c>
      <c r="K18">
        <v>2024</v>
      </c>
      <c r="L18">
        <v>0</v>
      </c>
      <c r="M18" t="s">
        <v>231</v>
      </c>
    </row>
    <row r="19" spans="1:13" hidden="1" x14ac:dyDescent="0.2">
      <c r="A19" t="s">
        <v>568</v>
      </c>
      <c r="B19" t="b">
        <v>1</v>
      </c>
      <c r="C19" t="s">
        <v>208</v>
      </c>
      <c r="D19" t="b">
        <v>0</v>
      </c>
      <c r="E19" t="s">
        <v>637</v>
      </c>
      <c r="F19" t="s">
        <v>258</v>
      </c>
      <c r="G19" t="s">
        <v>156</v>
      </c>
      <c r="K19">
        <v>2021</v>
      </c>
      <c r="L19">
        <v>7</v>
      </c>
      <c r="M19" t="s">
        <v>233</v>
      </c>
    </row>
    <row r="20" spans="1:13" hidden="1" x14ac:dyDescent="0.2">
      <c r="A20" t="s">
        <v>569</v>
      </c>
      <c r="B20" t="b">
        <v>1</v>
      </c>
      <c r="C20" t="s">
        <v>65</v>
      </c>
      <c r="D20" t="b">
        <v>1</v>
      </c>
      <c r="E20" t="s">
        <v>638</v>
      </c>
      <c r="F20" t="s">
        <v>260</v>
      </c>
      <c r="G20" t="s">
        <v>150</v>
      </c>
      <c r="H20" t="b">
        <v>0</v>
      </c>
      <c r="K20">
        <v>2023</v>
      </c>
      <c r="L20">
        <v>5</v>
      </c>
      <c r="M20" t="s">
        <v>235</v>
      </c>
    </row>
    <row r="21" spans="1:13" hidden="1" x14ac:dyDescent="0.2">
      <c r="A21" t="s">
        <v>570</v>
      </c>
      <c r="B21" t="b">
        <v>1</v>
      </c>
      <c r="C21" t="s">
        <v>59</v>
      </c>
      <c r="D21" t="b">
        <v>1</v>
      </c>
      <c r="E21" t="s">
        <v>630</v>
      </c>
      <c r="F21" t="s">
        <v>254</v>
      </c>
      <c r="G21" t="s">
        <v>145</v>
      </c>
      <c r="H21" t="b">
        <v>0</v>
      </c>
      <c r="K21">
        <v>2020</v>
      </c>
      <c r="L21">
        <v>7</v>
      </c>
      <c r="M21" t="s">
        <v>226</v>
      </c>
    </row>
    <row r="22" spans="1:13" hidden="1" x14ac:dyDescent="0.2">
      <c r="A22" t="s">
        <v>571</v>
      </c>
      <c r="B22" t="b">
        <v>1</v>
      </c>
      <c r="C22" t="s">
        <v>84</v>
      </c>
      <c r="D22" t="b">
        <v>1</v>
      </c>
      <c r="E22" t="s">
        <v>640</v>
      </c>
      <c r="F22" t="s">
        <v>262</v>
      </c>
      <c r="G22" t="s">
        <v>733</v>
      </c>
      <c r="H22" t="b">
        <v>0</v>
      </c>
      <c r="K22">
        <v>2023</v>
      </c>
      <c r="L22">
        <v>2</v>
      </c>
      <c r="M22" t="s">
        <v>237</v>
      </c>
    </row>
    <row r="23" spans="1:13" hidden="1" x14ac:dyDescent="0.2">
      <c r="A23" t="s">
        <v>572</v>
      </c>
      <c r="B23" t="b">
        <v>1</v>
      </c>
      <c r="C23" t="s">
        <v>90</v>
      </c>
      <c r="D23" t="b">
        <v>0</v>
      </c>
      <c r="E23" t="s">
        <v>642</v>
      </c>
      <c r="F23" t="s">
        <v>264</v>
      </c>
      <c r="G23" t="s">
        <v>218</v>
      </c>
      <c r="K23">
        <v>2022</v>
      </c>
      <c r="L23">
        <v>10</v>
      </c>
      <c r="M23" t="s">
        <v>239</v>
      </c>
    </row>
    <row r="24" spans="1:13" hidden="1" x14ac:dyDescent="0.2">
      <c r="A24" t="s">
        <v>573</v>
      </c>
      <c r="B24" t="b">
        <v>1</v>
      </c>
      <c r="C24" t="s">
        <v>75</v>
      </c>
      <c r="D24" t="b">
        <v>0</v>
      </c>
      <c r="E24" t="s">
        <v>643</v>
      </c>
      <c r="F24" t="s">
        <v>265</v>
      </c>
      <c r="G24" t="s">
        <v>159</v>
      </c>
      <c r="K24">
        <v>2020</v>
      </c>
      <c r="L24">
        <v>4</v>
      </c>
      <c r="M24" t="s">
        <v>240</v>
      </c>
    </row>
    <row r="25" spans="1:13" hidden="1" x14ac:dyDescent="0.2">
      <c r="A25" t="s">
        <v>574</v>
      </c>
      <c r="B25" t="b">
        <v>1</v>
      </c>
      <c r="C25" t="s">
        <v>74</v>
      </c>
      <c r="D25" t="b">
        <v>0</v>
      </c>
      <c r="E25" t="s">
        <v>634</v>
      </c>
      <c r="F25" t="s">
        <v>257</v>
      </c>
      <c r="G25" t="s">
        <v>214</v>
      </c>
      <c r="K25">
        <v>2021</v>
      </c>
      <c r="L25">
        <v>4</v>
      </c>
      <c r="M25" t="s">
        <v>230</v>
      </c>
    </row>
    <row r="26" spans="1:13" hidden="1" x14ac:dyDescent="0.2">
      <c r="A26" t="s">
        <v>575</v>
      </c>
      <c r="B26" t="b">
        <v>1</v>
      </c>
      <c r="C26" t="s">
        <v>94</v>
      </c>
      <c r="D26" t="b">
        <v>1</v>
      </c>
      <c r="E26" t="s">
        <v>648</v>
      </c>
      <c r="F26" t="s">
        <v>269</v>
      </c>
      <c r="G26" t="s">
        <v>176</v>
      </c>
      <c r="H26" t="b">
        <v>0</v>
      </c>
      <c r="K26">
        <v>2022</v>
      </c>
      <c r="L26">
        <v>7</v>
      </c>
      <c r="M26" t="s">
        <v>245</v>
      </c>
    </row>
    <row r="27" spans="1:13" hidden="1" x14ac:dyDescent="0.2">
      <c r="A27" t="s">
        <v>576</v>
      </c>
      <c r="B27" t="b">
        <v>1</v>
      </c>
      <c r="C27" t="s">
        <v>85</v>
      </c>
      <c r="D27" t="b">
        <v>1</v>
      </c>
      <c r="E27" t="s">
        <v>636</v>
      </c>
      <c r="F27" t="s">
        <v>104</v>
      </c>
      <c r="G27" t="s">
        <v>216</v>
      </c>
      <c r="H27" t="b">
        <v>0</v>
      </c>
      <c r="K27">
        <v>2021</v>
      </c>
      <c r="L27">
        <v>3</v>
      </c>
      <c r="M27" t="s">
        <v>232</v>
      </c>
    </row>
    <row r="28" spans="1:13" hidden="1" x14ac:dyDescent="0.2">
      <c r="A28" t="s">
        <v>577</v>
      </c>
      <c r="B28" t="b">
        <v>1</v>
      </c>
      <c r="C28" t="s">
        <v>64</v>
      </c>
      <c r="D28" t="b">
        <v>1</v>
      </c>
      <c r="E28" t="s">
        <v>637</v>
      </c>
      <c r="F28" t="s">
        <v>259</v>
      </c>
      <c r="G28" t="s">
        <v>217</v>
      </c>
      <c r="H28" t="b">
        <v>0</v>
      </c>
      <c r="K28">
        <v>2021</v>
      </c>
      <c r="L28">
        <v>13</v>
      </c>
      <c r="M28" t="s">
        <v>234</v>
      </c>
    </row>
    <row r="29" spans="1:13" hidden="1" x14ac:dyDescent="0.2">
      <c r="A29" t="s">
        <v>578</v>
      </c>
      <c r="B29" t="b">
        <v>1</v>
      </c>
      <c r="C29" t="s">
        <v>52</v>
      </c>
      <c r="D29" t="b">
        <v>0</v>
      </c>
      <c r="E29" t="s">
        <v>639</v>
      </c>
      <c r="F29" t="s">
        <v>261</v>
      </c>
      <c r="G29" t="s">
        <v>139</v>
      </c>
      <c r="K29">
        <v>2024</v>
      </c>
      <c r="L29">
        <v>0</v>
      </c>
      <c r="M29" t="s">
        <v>236</v>
      </c>
    </row>
    <row r="30" spans="1:13" hidden="1" x14ac:dyDescent="0.2">
      <c r="A30" t="s">
        <v>579</v>
      </c>
      <c r="B30" t="b">
        <v>1</v>
      </c>
      <c r="C30" t="s">
        <v>210</v>
      </c>
      <c r="D30" t="b">
        <v>0</v>
      </c>
      <c r="E30" t="s">
        <v>650</v>
      </c>
      <c r="F30" t="s">
        <v>271</v>
      </c>
      <c r="G30" t="s">
        <v>219</v>
      </c>
      <c r="K30">
        <v>2024</v>
      </c>
      <c r="L30">
        <v>0</v>
      </c>
      <c r="M30" t="s">
        <v>247</v>
      </c>
    </row>
    <row r="31" spans="1:13" hidden="1" x14ac:dyDescent="0.2">
      <c r="A31" t="s">
        <v>580</v>
      </c>
      <c r="B31" t="b">
        <v>1</v>
      </c>
      <c r="C31" t="s">
        <v>92</v>
      </c>
      <c r="D31" t="b">
        <v>0</v>
      </c>
      <c r="E31" t="s">
        <v>645</v>
      </c>
      <c r="F31" t="s">
        <v>266</v>
      </c>
      <c r="G31" t="s">
        <v>174</v>
      </c>
      <c r="K31">
        <v>2022</v>
      </c>
      <c r="L31">
        <v>7</v>
      </c>
      <c r="M31" t="s">
        <v>242</v>
      </c>
    </row>
    <row r="32" spans="1:13" hidden="1" x14ac:dyDescent="0.2">
      <c r="A32" t="s">
        <v>581</v>
      </c>
      <c r="B32" t="b">
        <v>1</v>
      </c>
      <c r="C32" t="s">
        <v>95</v>
      </c>
      <c r="D32" t="b">
        <v>0</v>
      </c>
      <c r="E32" t="s">
        <v>647</v>
      </c>
      <c r="F32" t="s">
        <v>268</v>
      </c>
      <c r="G32" t="s">
        <v>177</v>
      </c>
      <c r="K32">
        <v>2021</v>
      </c>
      <c r="L32">
        <v>17</v>
      </c>
      <c r="M32" t="s">
        <v>244</v>
      </c>
    </row>
    <row r="33" spans="1:13" hidden="1" x14ac:dyDescent="0.2">
      <c r="A33" t="s">
        <v>582</v>
      </c>
      <c r="B33" t="b">
        <v>1</v>
      </c>
      <c r="C33" t="s">
        <v>80</v>
      </c>
      <c r="D33" t="b">
        <v>1</v>
      </c>
      <c r="E33" t="s">
        <v>649</v>
      </c>
      <c r="F33" t="s">
        <v>270</v>
      </c>
      <c r="G33" t="s">
        <v>164</v>
      </c>
      <c r="H33" t="b">
        <v>0</v>
      </c>
      <c r="K33">
        <v>2021</v>
      </c>
      <c r="L33">
        <v>4</v>
      </c>
      <c r="M33" t="s">
        <v>246</v>
      </c>
    </row>
    <row r="34" spans="1:13" hidden="1" x14ac:dyDescent="0.2">
      <c r="A34" t="s">
        <v>583</v>
      </c>
      <c r="B34" t="b">
        <v>1</v>
      </c>
      <c r="C34" t="s">
        <v>211</v>
      </c>
      <c r="D34" t="b">
        <v>0</v>
      </c>
      <c r="E34" t="s">
        <v>651</v>
      </c>
      <c r="F34" t="s">
        <v>104</v>
      </c>
      <c r="G34" t="s">
        <v>220</v>
      </c>
      <c r="K34">
        <v>2024</v>
      </c>
      <c r="L34">
        <v>0</v>
      </c>
      <c r="M34" t="s">
        <v>248</v>
      </c>
    </row>
    <row r="35" spans="1:13" hidden="1" x14ac:dyDescent="0.2">
      <c r="A35" t="s">
        <v>584</v>
      </c>
      <c r="B35" t="b">
        <v>1</v>
      </c>
      <c r="C35" t="s">
        <v>100</v>
      </c>
      <c r="D35" t="b">
        <v>0</v>
      </c>
      <c r="E35" t="s">
        <v>667</v>
      </c>
      <c r="F35" t="s">
        <v>499</v>
      </c>
      <c r="G35" t="s">
        <v>736</v>
      </c>
      <c r="K35">
        <v>2023</v>
      </c>
      <c r="L35">
        <v>0</v>
      </c>
      <c r="M35" t="s">
        <v>334</v>
      </c>
    </row>
    <row r="36" spans="1:13" hidden="1" x14ac:dyDescent="0.2">
      <c r="A36" t="s">
        <v>585</v>
      </c>
      <c r="B36" t="b">
        <v>1</v>
      </c>
      <c r="C36" t="s">
        <v>297</v>
      </c>
      <c r="D36" t="b">
        <v>1</v>
      </c>
      <c r="E36" t="s">
        <v>700</v>
      </c>
      <c r="F36" t="s">
        <v>524</v>
      </c>
      <c r="G36" t="s">
        <v>459</v>
      </c>
      <c r="H36" t="b">
        <v>1</v>
      </c>
      <c r="I36" t="b">
        <v>0</v>
      </c>
      <c r="J36" t="s">
        <v>783</v>
      </c>
      <c r="K36">
        <v>2022</v>
      </c>
      <c r="L36">
        <v>21</v>
      </c>
      <c r="M36" t="s">
        <v>373</v>
      </c>
    </row>
    <row r="37" spans="1:13" hidden="1" x14ac:dyDescent="0.2">
      <c r="A37" t="s">
        <v>586</v>
      </c>
      <c r="B37" t="b">
        <v>0</v>
      </c>
      <c r="C37" t="s">
        <v>311</v>
      </c>
      <c r="E37" t="s">
        <v>104</v>
      </c>
      <c r="F37" t="s">
        <v>104</v>
      </c>
      <c r="G37" t="s">
        <v>481</v>
      </c>
      <c r="K37">
        <v>2020</v>
      </c>
      <c r="L37">
        <v>0</v>
      </c>
      <c r="M37" t="s">
        <v>400</v>
      </c>
    </row>
    <row r="38" spans="1:13" hidden="1" x14ac:dyDescent="0.2">
      <c r="A38" t="s">
        <v>746</v>
      </c>
      <c r="B38" t="b">
        <v>1</v>
      </c>
      <c r="C38" t="s">
        <v>56</v>
      </c>
      <c r="D38" t="b">
        <v>0</v>
      </c>
      <c r="E38" t="s">
        <v>671</v>
      </c>
      <c r="F38" t="s">
        <v>503</v>
      </c>
      <c r="G38" t="s">
        <v>428</v>
      </c>
      <c r="K38">
        <v>2023</v>
      </c>
      <c r="L38">
        <v>0</v>
      </c>
      <c r="M38" t="s">
        <v>338</v>
      </c>
    </row>
    <row r="39" spans="1:13" hidden="1" x14ac:dyDescent="0.2">
      <c r="A39" t="s">
        <v>587</v>
      </c>
      <c r="B39" t="b">
        <v>1</v>
      </c>
      <c r="C39" t="s">
        <v>63</v>
      </c>
      <c r="D39" t="b">
        <v>0</v>
      </c>
      <c r="E39" t="s">
        <v>717</v>
      </c>
      <c r="F39" t="s">
        <v>543</v>
      </c>
      <c r="G39" t="s">
        <v>477</v>
      </c>
      <c r="K39">
        <v>2020</v>
      </c>
      <c r="L39">
        <v>19</v>
      </c>
      <c r="M39" t="s">
        <v>396</v>
      </c>
    </row>
    <row r="40" spans="1:13" hidden="1" x14ac:dyDescent="0.2">
      <c r="A40" t="s">
        <v>588</v>
      </c>
      <c r="B40" t="b">
        <v>0</v>
      </c>
      <c r="C40" t="s">
        <v>284</v>
      </c>
      <c r="E40" t="s">
        <v>104</v>
      </c>
      <c r="F40" t="s">
        <v>104</v>
      </c>
      <c r="G40" t="s">
        <v>436</v>
      </c>
      <c r="K40">
        <v>2023</v>
      </c>
      <c r="L40">
        <v>0</v>
      </c>
      <c r="M40" t="s">
        <v>346</v>
      </c>
    </row>
    <row r="41" spans="1:13" hidden="1" x14ac:dyDescent="0.2">
      <c r="A41" t="s">
        <v>589</v>
      </c>
      <c r="B41" t="b">
        <v>1</v>
      </c>
      <c r="C41" t="s">
        <v>77</v>
      </c>
      <c r="D41" t="b">
        <v>1</v>
      </c>
      <c r="E41" t="s">
        <v>704</v>
      </c>
      <c r="F41" t="s">
        <v>528</v>
      </c>
      <c r="G41" t="s">
        <v>462</v>
      </c>
      <c r="H41" t="b">
        <v>0</v>
      </c>
      <c r="K41">
        <v>2022</v>
      </c>
      <c r="L41">
        <v>4</v>
      </c>
      <c r="M41" t="s">
        <v>378</v>
      </c>
    </row>
    <row r="42" spans="1:13" hidden="1" x14ac:dyDescent="0.2">
      <c r="A42" t="s">
        <v>729</v>
      </c>
      <c r="B42" t="b">
        <v>1</v>
      </c>
      <c r="C42" t="s">
        <v>209</v>
      </c>
      <c r="D42" t="b">
        <v>1</v>
      </c>
      <c r="E42" t="s">
        <v>714</v>
      </c>
      <c r="F42" t="s">
        <v>539</v>
      </c>
      <c r="G42" t="s">
        <v>473</v>
      </c>
      <c r="H42" t="b">
        <v>0</v>
      </c>
      <c r="K42">
        <v>2021</v>
      </c>
      <c r="L42">
        <v>5</v>
      </c>
      <c r="M42" t="s">
        <v>391</v>
      </c>
    </row>
    <row r="43" spans="1:13" hidden="1" x14ac:dyDescent="0.2">
      <c r="A43" t="s">
        <v>590</v>
      </c>
      <c r="B43" t="b">
        <v>0</v>
      </c>
      <c r="C43" t="s">
        <v>312</v>
      </c>
      <c r="E43" t="s">
        <v>104</v>
      </c>
      <c r="F43" t="s">
        <v>104</v>
      </c>
      <c r="G43" t="s">
        <v>482</v>
      </c>
      <c r="K43">
        <v>2020</v>
      </c>
      <c r="L43">
        <v>0</v>
      </c>
      <c r="M43" t="s">
        <v>401</v>
      </c>
    </row>
    <row r="44" spans="1:13" hidden="1" x14ac:dyDescent="0.2">
      <c r="A44" t="s">
        <v>591</v>
      </c>
      <c r="B44" t="b">
        <v>1</v>
      </c>
      <c r="C44" t="s">
        <v>89</v>
      </c>
      <c r="D44" t="b">
        <v>0</v>
      </c>
      <c r="E44" t="s">
        <v>721</v>
      </c>
      <c r="F44" t="s">
        <v>546</v>
      </c>
      <c r="G44" t="s">
        <v>483</v>
      </c>
      <c r="K44">
        <v>2020</v>
      </c>
      <c r="L44">
        <v>12</v>
      </c>
      <c r="M44" t="s">
        <v>402</v>
      </c>
    </row>
    <row r="45" spans="1:13" hidden="1" x14ac:dyDescent="0.2">
      <c r="A45" t="s">
        <v>592</v>
      </c>
      <c r="B45" t="b">
        <v>1</v>
      </c>
      <c r="C45" t="s">
        <v>295</v>
      </c>
      <c r="D45" t="b">
        <v>1</v>
      </c>
      <c r="E45" t="s">
        <v>698</v>
      </c>
      <c r="F45" t="s">
        <v>522</v>
      </c>
      <c r="G45" t="s">
        <v>457</v>
      </c>
      <c r="H45" t="b">
        <v>0</v>
      </c>
      <c r="K45">
        <v>2022</v>
      </c>
      <c r="L45">
        <v>3</v>
      </c>
      <c r="M45" t="s">
        <v>370</v>
      </c>
    </row>
    <row r="46" spans="1:13" hidden="1" x14ac:dyDescent="0.2">
      <c r="A46" t="s">
        <v>593</v>
      </c>
      <c r="B46" t="b">
        <v>1</v>
      </c>
      <c r="C46" t="s">
        <v>313</v>
      </c>
      <c r="D46" t="b">
        <v>1</v>
      </c>
      <c r="E46" t="s">
        <v>722</v>
      </c>
      <c r="F46" t="s">
        <v>104</v>
      </c>
      <c r="G46" t="s">
        <v>484</v>
      </c>
      <c r="H46" t="b">
        <v>0</v>
      </c>
      <c r="K46">
        <v>2020</v>
      </c>
      <c r="L46">
        <v>8</v>
      </c>
      <c r="M46" t="s">
        <v>403</v>
      </c>
    </row>
    <row r="47" spans="1:13" hidden="1" x14ac:dyDescent="0.2">
      <c r="A47" t="s">
        <v>594</v>
      </c>
      <c r="B47" t="b">
        <v>1</v>
      </c>
      <c r="C47" t="s">
        <v>51</v>
      </c>
      <c r="D47" t="b">
        <v>0</v>
      </c>
      <c r="E47" t="s">
        <v>657</v>
      </c>
      <c r="F47" t="s">
        <v>492</v>
      </c>
      <c r="G47" t="s">
        <v>415</v>
      </c>
      <c r="K47">
        <v>2024</v>
      </c>
      <c r="L47">
        <v>0</v>
      </c>
      <c r="M47" t="s">
        <v>323</v>
      </c>
    </row>
    <row r="48" spans="1:13" hidden="1" x14ac:dyDescent="0.2">
      <c r="A48" t="s">
        <v>595</v>
      </c>
      <c r="B48" t="b">
        <v>1</v>
      </c>
      <c r="C48" t="s">
        <v>87</v>
      </c>
      <c r="D48" t="b">
        <v>0</v>
      </c>
      <c r="E48" t="s">
        <v>692</v>
      </c>
      <c r="F48" t="s">
        <v>104</v>
      </c>
      <c r="G48" t="s">
        <v>451</v>
      </c>
      <c r="K48">
        <v>2022</v>
      </c>
      <c r="L48">
        <v>0</v>
      </c>
      <c r="M48" t="s">
        <v>363</v>
      </c>
    </row>
    <row r="49" spans="1:13" hidden="1" x14ac:dyDescent="0.2">
      <c r="A49" t="s">
        <v>596</v>
      </c>
      <c r="B49" t="b">
        <v>1</v>
      </c>
      <c r="C49" t="s">
        <v>308</v>
      </c>
      <c r="D49" t="b">
        <v>1</v>
      </c>
      <c r="E49" t="s">
        <v>718</v>
      </c>
      <c r="F49" t="s">
        <v>544</v>
      </c>
      <c r="G49" t="s">
        <v>478</v>
      </c>
      <c r="H49" t="b">
        <v>0</v>
      </c>
      <c r="K49">
        <v>2021</v>
      </c>
      <c r="L49">
        <v>21</v>
      </c>
      <c r="M49" t="s">
        <v>397</v>
      </c>
    </row>
    <row r="50" spans="1:13" hidden="1" x14ac:dyDescent="0.2">
      <c r="A50" t="s">
        <v>597</v>
      </c>
      <c r="B50" t="b">
        <v>1</v>
      </c>
      <c r="C50" t="s">
        <v>97</v>
      </c>
      <c r="D50" t="b">
        <v>0</v>
      </c>
      <c r="E50" t="s">
        <v>652</v>
      </c>
      <c r="F50" t="s">
        <v>104</v>
      </c>
      <c r="G50" t="s">
        <v>734</v>
      </c>
      <c r="K50">
        <v>2024</v>
      </c>
      <c r="L50">
        <v>0</v>
      </c>
      <c r="M50" t="s">
        <v>318</v>
      </c>
    </row>
    <row r="51" spans="1:13" hidden="1" x14ac:dyDescent="0.2">
      <c r="A51" t="s">
        <v>747</v>
      </c>
      <c r="B51" t="b">
        <v>1</v>
      </c>
      <c r="C51" t="s">
        <v>290</v>
      </c>
      <c r="D51" t="b">
        <v>0</v>
      </c>
      <c r="E51" t="s">
        <v>688</v>
      </c>
      <c r="F51" t="s">
        <v>515</v>
      </c>
      <c r="G51" t="s">
        <v>448</v>
      </c>
      <c r="K51">
        <v>2022</v>
      </c>
      <c r="L51">
        <v>0</v>
      </c>
      <c r="M51" t="s">
        <v>359</v>
      </c>
    </row>
    <row r="52" spans="1:13" hidden="1" x14ac:dyDescent="0.2">
      <c r="A52" t="s">
        <v>730</v>
      </c>
      <c r="B52" t="b">
        <v>1</v>
      </c>
      <c r="C52" t="s">
        <v>279</v>
      </c>
      <c r="D52" t="b">
        <v>1</v>
      </c>
      <c r="E52" t="s">
        <v>668</v>
      </c>
      <c r="F52" t="s">
        <v>500</v>
      </c>
      <c r="G52" t="s">
        <v>425</v>
      </c>
      <c r="H52" t="b">
        <v>0</v>
      </c>
      <c r="K52">
        <v>2023</v>
      </c>
      <c r="L52">
        <v>63</v>
      </c>
      <c r="M52" t="s">
        <v>335</v>
      </c>
    </row>
    <row r="53" spans="1:13" hidden="1" x14ac:dyDescent="0.2">
      <c r="A53" t="s">
        <v>598</v>
      </c>
      <c r="B53" t="b">
        <v>1</v>
      </c>
      <c r="C53" t="s">
        <v>61</v>
      </c>
      <c r="D53" t="b">
        <v>0</v>
      </c>
      <c r="E53" t="s">
        <v>680</v>
      </c>
      <c r="F53" t="s">
        <v>509</v>
      </c>
      <c r="G53" t="s">
        <v>439</v>
      </c>
      <c r="K53">
        <v>2022</v>
      </c>
      <c r="L53">
        <v>1</v>
      </c>
      <c r="M53" t="s">
        <v>349</v>
      </c>
    </row>
    <row r="54" spans="1:13" hidden="1" x14ac:dyDescent="0.2">
      <c r="A54" t="s">
        <v>748</v>
      </c>
      <c r="B54" t="b">
        <v>1</v>
      </c>
      <c r="C54" t="s">
        <v>99</v>
      </c>
      <c r="D54" t="b">
        <v>1</v>
      </c>
      <c r="E54" t="s">
        <v>672</v>
      </c>
      <c r="F54" t="s">
        <v>504</v>
      </c>
      <c r="G54" t="s">
        <v>429</v>
      </c>
      <c r="H54" t="b">
        <v>0</v>
      </c>
      <c r="K54">
        <v>2023</v>
      </c>
      <c r="L54">
        <v>4</v>
      </c>
      <c r="M54" t="s">
        <v>339</v>
      </c>
    </row>
    <row r="55" spans="1:13" hidden="1" x14ac:dyDescent="0.2">
      <c r="A55" t="s">
        <v>731</v>
      </c>
      <c r="B55" t="b">
        <v>1</v>
      </c>
      <c r="C55" t="s">
        <v>314</v>
      </c>
      <c r="D55" t="b">
        <v>0</v>
      </c>
      <c r="E55" t="s">
        <v>723</v>
      </c>
      <c r="F55" t="s">
        <v>547</v>
      </c>
      <c r="G55" t="s">
        <v>485</v>
      </c>
      <c r="K55">
        <v>2020</v>
      </c>
      <c r="L55">
        <v>2</v>
      </c>
      <c r="M55" t="s">
        <v>404</v>
      </c>
    </row>
    <row r="56" spans="1:13" hidden="1" x14ac:dyDescent="0.2">
      <c r="A56" t="s">
        <v>599</v>
      </c>
      <c r="B56" t="b">
        <v>1</v>
      </c>
      <c r="C56" t="s">
        <v>98</v>
      </c>
      <c r="D56" t="b">
        <v>1</v>
      </c>
      <c r="E56" t="s">
        <v>662</v>
      </c>
      <c r="F56" t="s">
        <v>135</v>
      </c>
      <c r="G56" t="s">
        <v>420</v>
      </c>
      <c r="H56" t="b">
        <v>0</v>
      </c>
      <c r="K56">
        <v>2024</v>
      </c>
      <c r="L56">
        <v>0</v>
      </c>
      <c r="M56" t="s">
        <v>329</v>
      </c>
    </row>
    <row r="57" spans="1:13" hidden="1" x14ac:dyDescent="0.2">
      <c r="A57" t="s">
        <v>600</v>
      </c>
      <c r="B57" t="b">
        <v>1</v>
      </c>
      <c r="C57" t="s">
        <v>67</v>
      </c>
      <c r="D57" t="b">
        <v>0</v>
      </c>
      <c r="E57" t="s">
        <v>693</v>
      </c>
      <c r="F57" t="s">
        <v>519</v>
      </c>
      <c r="G57" t="s">
        <v>452</v>
      </c>
      <c r="K57">
        <v>2022</v>
      </c>
      <c r="L57">
        <v>6</v>
      </c>
      <c r="M57" t="s">
        <v>364</v>
      </c>
    </row>
    <row r="58" spans="1:13" hidden="1" x14ac:dyDescent="0.2">
      <c r="A58" t="s">
        <v>749</v>
      </c>
      <c r="B58" t="b">
        <v>1</v>
      </c>
      <c r="C58" t="s">
        <v>82</v>
      </c>
      <c r="D58" t="b">
        <v>0</v>
      </c>
      <c r="E58" t="s">
        <v>669</v>
      </c>
      <c r="F58" t="s">
        <v>501</v>
      </c>
      <c r="G58" t="s">
        <v>426</v>
      </c>
      <c r="K58">
        <v>2024</v>
      </c>
      <c r="L58">
        <v>0</v>
      </c>
      <c r="M58" t="s">
        <v>336</v>
      </c>
    </row>
    <row r="59" spans="1:13" hidden="1" x14ac:dyDescent="0.2">
      <c r="A59" t="s">
        <v>601</v>
      </c>
      <c r="B59" t="b">
        <v>1</v>
      </c>
      <c r="C59" t="s">
        <v>302</v>
      </c>
      <c r="D59" t="b">
        <v>1</v>
      </c>
      <c r="E59" t="s">
        <v>709</v>
      </c>
      <c r="F59" t="s">
        <v>533</v>
      </c>
      <c r="G59" t="s">
        <v>467</v>
      </c>
      <c r="H59" t="b">
        <v>0</v>
      </c>
      <c r="K59">
        <v>2021</v>
      </c>
      <c r="L59">
        <v>21</v>
      </c>
      <c r="M59" t="s">
        <v>383</v>
      </c>
    </row>
    <row r="60" spans="1:13" hidden="1" x14ac:dyDescent="0.2">
      <c r="A60" t="s">
        <v>602</v>
      </c>
      <c r="B60" t="b">
        <v>0</v>
      </c>
      <c r="C60" t="s">
        <v>285</v>
      </c>
      <c r="E60" t="s">
        <v>104</v>
      </c>
      <c r="F60" t="s">
        <v>104</v>
      </c>
      <c r="G60" t="s">
        <v>440</v>
      </c>
      <c r="K60">
        <v>2023</v>
      </c>
      <c r="L60">
        <v>0</v>
      </c>
      <c r="M60" t="s">
        <v>350</v>
      </c>
    </row>
    <row r="61" spans="1:13" hidden="1" x14ac:dyDescent="0.2">
      <c r="A61" t="s">
        <v>750</v>
      </c>
      <c r="B61" t="b">
        <v>0</v>
      </c>
      <c r="C61" t="s">
        <v>303</v>
      </c>
      <c r="E61" t="s">
        <v>104</v>
      </c>
      <c r="F61" t="s">
        <v>104</v>
      </c>
      <c r="G61" t="s">
        <v>742</v>
      </c>
      <c r="K61">
        <v>2021</v>
      </c>
      <c r="L61">
        <v>0</v>
      </c>
      <c r="M61" t="s">
        <v>386</v>
      </c>
    </row>
    <row r="62" spans="1:13" hidden="1" x14ac:dyDescent="0.2">
      <c r="A62" t="s">
        <v>751</v>
      </c>
      <c r="B62" t="b">
        <v>1</v>
      </c>
      <c r="C62" t="s">
        <v>306</v>
      </c>
      <c r="D62" t="b">
        <v>1</v>
      </c>
      <c r="E62" t="s">
        <v>716</v>
      </c>
      <c r="F62" t="s">
        <v>542</v>
      </c>
      <c r="G62" t="s">
        <v>476</v>
      </c>
      <c r="H62" t="b">
        <v>1</v>
      </c>
      <c r="I62" t="b">
        <v>0</v>
      </c>
      <c r="J62" t="s">
        <v>782</v>
      </c>
      <c r="K62">
        <v>2020</v>
      </c>
      <c r="L62">
        <v>10</v>
      </c>
      <c r="M62" t="s">
        <v>394</v>
      </c>
    </row>
    <row r="63" spans="1:13" hidden="1" x14ac:dyDescent="0.2">
      <c r="A63" t="s">
        <v>752</v>
      </c>
      <c r="B63" t="b">
        <v>1</v>
      </c>
      <c r="C63" t="s">
        <v>292</v>
      </c>
      <c r="D63" t="b">
        <v>1</v>
      </c>
      <c r="E63" t="s">
        <v>690</v>
      </c>
      <c r="F63" t="s">
        <v>517</v>
      </c>
      <c r="G63" t="s">
        <v>449</v>
      </c>
      <c r="H63" t="b">
        <v>1</v>
      </c>
      <c r="I63" t="b">
        <v>0</v>
      </c>
      <c r="J63" t="s">
        <v>781</v>
      </c>
      <c r="K63">
        <v>2022</v>
      </c>
      <c r="L63">
        <v>1</v>
      </c>
      <c r="M63" t="s">
        <v>361</v>
      </c>
    </row>
    <row r="64" spans="1:13" hidden="1" x14ac:dyDescent="0.2">
      <c r="A64" t="s">
        <v>603</v>
      </c>
      <c r="B64" t="b">
        <v>1</v>
      </c>
      <c r="C64" t="s">
        <v>286</v>
      </c>
      <c r="D64" t="b">
        <v>0</v>
      </c>
      <c r="E64" t="s">
        <v>681</v>
      </c>
      <c r="F64" t="s">
        <v>510</v>
      </c>
      <c r="G64" t="s">
        <v>441</v>
      </c>
      <c r="K64">
        <v>2023</v>
      </c>
      <c r="L64">
        <v>1</v>
      </c>
      <c r="M64" t="s">
        <v>351</v>
      </c>
    </row>
    <row r="65" spans="1:13" hidden="1" x14ac:dyDescent="0.2">
      <c r="A65" t="s">
        <v>604</v>
      </c>
      <c r="B65" t="b">
        <v>0</v>
      </c>
      <c r="C65" t="s">
        <v>296</v>
      </c>
      <c r="E65" t="s">
        <v>104</v>
      </c>
      <c r="F65" t="s">
        <v>104</v>
      </c>
      <c r="G65" t="s">
        <v>741</v>
      </c>
      <c r="K65">
        <v>2022</v>
      </c>
      <c r="L65">
        <v>0</v>
      </c>
      <c r="M65" t="s">
        <v>372</v>
      </c>
    </row>
    <row r="66" spans="1:13" hidden="1" x14ac:dyDescent="0.2">
      <c r="A66" t="s">
        <v>753</v>
      </c>
      <c r="B66" t="b">
        <v>1</v>
      </c>
      <c r="C66" t="s">
        <v>287</v>
      </c>
      <c r="D66" t="b">
        <v>0</v>
      </c>
      <c r="E66" t="s">
        <v>684</v>
      </c>
      <c r="F66" t="s">
        <v>104</v>
      </c>
      <c r="G66" t="s">
        <v>443</v>
      </c>
      <c r="K66">
        <v>2023</v>
      </c>
      <c r="L66">
        <v>3</v>
      </c>
      <c r="M66" t="s">
        <v>354</v>
      </c>
    </row>
    <row r="67" spans="1:13" hidden="1" x14ac:dyDescent="0.2">
      <c r="A67" t="s">
        <v>605</v>
      </c>
      <c r="B67" t="b">
        <v>1</v>
      </c>
      <c r="C67" t="s">
        <v>283</v>
      </c>
      <c r="D67" t="b">
        <v>1</v>
      </c>
      <c r="E67" t="s">
        <v>676</v>
      </c>
      <c r="F67" t="s">
        <v>104</v>
      </c>
      <c r="G67" t="s">
        <v>434</v>
      </c>
      <c r="H67" t="b">
        <v>0</v>
      </c>
      <c r="K67">
        <v>2023</v>
      </c>
      <c r="L67">
        <v>0</v>
      </c>
      <c r="M67" t="s">
        <v>344</v>
      </c>
    </row>
    <row r="68" spans="1:13" hidden="1" x14ac:dyDescent="0.2">
      <c r="A68" t="s">
        <v>606</v>
      </c>
      <c r="B68" t="b">
        <v>1</v>
      </c>
      <c r="C68" t="s">
        <v>277</v>
      </c>
      <c r="D68" t="b">
        <v>0</v>
      </c>
      <c r="E68" t="s">
        <v>665</v>
      </c>
      <c r="F68" t="s">
        <v>497</v>
      </c>
      <c r="G68" t="s">
        <v>423</v>
      </c>
      <c r="K68">
        <v>2023</v>
      </c>
      <c r="L68">
        <v>0</v>
      </c>
      <c r="M68" t="s">
        <v>332</v>
      </c>
    </row>
    <row r="69" spans="1:13" hidden="1" x14ac:dyDescent="0.2">
      <c r="A69" t="s">
        <v>607</v>
      </c>
      <c r="B69" t="b">
        <v>1</v>
      </c>
      <c r="C69" t="s">
        <v>96</v>
      </c>
      <c r="D69" t="b">
        <v>0</v>
      </c>
      <c r="E69" t="s">
        <v>694</v>
      </c>
      <c r="F69" t="s">
        <v>520</v>
      </c>
      <c r="G69" t="s">
        <v>738</v>
      </c>
      <c r="K69">
        <v>2022</v>
      </c>
      <c r="L69">
        <v>1</v>
      </c>
      <c r="M69" t="s">
        <v>365</v>
      </c>
    </row>
    <row r="70" spans="1:13" hidden="1" x14ac:dyDescent="0.2">
      <c r="A70" t="s">
        <v>608</v>
      </c>
      <c r="B70" t="b">
        <v>0</v>
      </c>
      <c r="C70" t="s">
        <v>282</v>
      </c>
      <c r="E70" t="s">
        <v>104</v>
      </c>
      <c r="F70" t="s">
        <v>104</v>
      </c>
      <c r="G70" t="s">
        <v>432</v>
      </c>
      <c r="K70">
        <v>2023</v>
      </c>
      <c r="L70">
        <v>0</v>
      </c>
      <c r="M70" t="s">
        <v>342</v>
      </c>
    </row>
    <row r="71" spans="1:13" hidden="1" x14ac:dyDescent="0.2">
      <c r="A71" t="s">
        <v>754</v>
      </c>
      <c r="B71" t="b">
        <v>1</v>
      </c>
      <c r="C71" t="s">
        <v>206</v>
      </c>
      <c r="D71" t="b">
        <v>0</v>
      </c>
      <c r="E71" t="s">
        <v>685</v>
      </c>
      <c r="F71" t="s">
        <v>512</v>
      </c>
      <c r="G71" t="s">
        <v>444</v>
      </c>
      <c r="K71">
        <v>2023</v>
      </c>
      <c r="L71">
        <v>0</v>
      </c>
      <c r="M71" t="s">
        <v>355</v>
      </c>
    </row>
    <row r="72" spans="1:13" hidden="1" x14ac:dyDescent="0.2">
      <c r="A72" t="s">
        <v>609</v>
      </c>
      <c r="B72" t="b">
        <v>1</v>
      </c>
      <c r="C72" t="s">
        <v>76</v>
      </c>
      <c r="D72" t="b">
        <v>1</v>
      </c>
      <c r="E72" t="s">
        <v>726</v>
      </c>
      <c r="F72" t="s">
        <v>549</v>
      </c>
      <c r="G72" t="s">
        <v>488</v>
      </c>
      <c r="H72" t="b">
        <v>0</v>
      </c>
      <c r="K72">
        <v>2020</v>
      </c>
      <c r="L72">
        <v>12</v>
      </c>
      <c r="M72" t="s">
        <v>408</v>
      </c>
    </row>
    <row r="73" spans="1:13" hidden="1" x14ac:dyDescent="0.2">
      <c r="A73" t="s">
        <v>610</v>
      </c>
      <c r="B73" t="b">
        <v>0</v>
      </c>
      <c r="C73" t="s">
        <v>294</v>
      </c>
      <c r="E73" t="s">
        <v>104</v>
      </c>
      <c r="F73" t="s">
        <v>104</v>
      </c>
      <c r="G73" t="s">
        <v>453</v>
      </c>
      <c r="K73">
        <v>2022</v>
      </c>
      <c r="L73">
        <v>0</v>
      </c>
      <c r="M73" t="s">
        <v>366</v>
      </c>
    </row>
    <row r="74" spans="1:13" hidden="1" x14ac:dyDescent="0.2">
      <c r="A74" t="s">
        <v>611</v>
      </c>
      <c r="B74" t="b">
        <v>1</v>
      </c>
      <c r="C74" t="s">
        <v>317</v>
      </c>
      <c r="D74" t="b">
        <v>1</v>
      </c>
      <c r="E74" t="s">
        <v>728</v>
      </c>
      <c r="F74" t="s">
        <v>104</v>
      </c>
      <c r="G74" t="s">
        <v>490</v>
      </c>
      <c r="H74" t="b">
        <v>0</v>
      </c>
      <c r="K74">
        <v>2020</v>
      </c>
      <c r="L74">
        <v>18</v>
      </c>
      <c r="M74" t="s">
        <v>410</v>
      </c>
    </row>
    <row r="75" spans="1:13" hidden="1" x14ac:dyDescent="0.2">
      <c r="A75" t="s">
        <v>612</v>
      </c>
      <c r="B75" t="b">
        <v>1</v>
      </c>
      <c r="C75" t="s">
        <v>280</v>
      </c>
      <c r="D75" t="b">
        <v>0</v>
      </c>
      <c r="E75" t="s">
        <v>670</v>
      </c>
      <c r="F75" t="s">
        <v>502</v>
      </c>
      <c r="G75" t="s">
        <v>427</v>
      </c>
      <c r="K75">
        <v>2024</v>
      </c>
      <c r="L75">
        <v>0</v>
      </c>
      <c r="M75" t="s">
        <v>337</v>
      </c>
    </row>
    <row r="76" spans="1:13" hidden="1" x14ac:dyDescent="0.2">
      <c r="A76" t="s">
        <v>755</v>
      </c>
      <c r="B76" t="b">
        <v>0</v>
      </c>
      <c r="C76" t="s">
        <v>298</v>
      </c>
      <c r="E76" t="s">
        <v>104</v>
      </c>
      <c r="F76" t="s">
        <v>104</v>
      </c>
      <c r="G76" t="s">
        <v>740</v>
      </c>
      <c r="K76">
        <v>2022</v>
      </c>
      <c r="L76">
        <v>0</v>
      </c>
      <c r="M76" t="s">
        <v>375</v>
      </c>
    </row>
    <row r="77" spans="1:13" hidden="1" x14ac:dyDescent="0.2">
      <c r="A77" t="s">
        <v>613</v>
      </c>
      <c r="B77" t="b">
        <v>1</v>
      </c>
      <c r="C77" t="s">
        <v>293</v>
      </c>
      <c r="D77" t="b">
        <v>1</v>
      </c>
      <c r="E77" t="s">
        <v>691</v>
      </c>
      <c r="F77" t="s">
        <v>518</v>
      </c>
      <c r="G77" t="s">
        <v>450</v>
      </c>
      <c r="H77" t="b">
        <v>0</v>
      </c>
      <c r="K77">
        <v>2022</v>
      </c>
      <c r="L77">
        <v>31</v>
      </c>
      <c r="M77" t="s">
        <v>362</v>
      </c>
    </row>
    <row r="78" spans="1:13" hidden="1" x14ac:dyDescent="0.2">
      <c r="A78" t="s">
        <v>614</v>
      </c>
      <c r="B78" t="b">
        <v>1</v>
      </c>
      <c r="C78" t="s">
        <v>304</v>
      </c>
      <c r="D78" t="b">
        <v>0</v>
      </c>
      <c r="E78" t="s">
        <v>712</v>
      </c>
      <c r="F78" t="s">
        <v>537</v>
      </c>
      <c r="G78" t="s">
        <v>471</v>
      </c>
      <c r="K78">
        <v>2021</v>
      </c>
      <c r="L78">
        <v>0</v>
      </c>
      <c r="M78" t="s">
        <v>389</v>
      </c>
    </row>
    <row r="79" spans="1:13" hidden="1" x14ac:dyDescent="0.2">
      <c r="A79" t="s">
        <v>615</v>
      </c>
      <c r="B79" t="b">
        <v>1</v>
      </c>
      <c r="C79" t="s">
        <v>278</v>
      </c>
      <c r="D79" t="b">
        <v>0</v>
      </c>
      <c r="E79" t="s">
        <v>666</v>
      </c>
      <c r="F79" t="s">
        <v>498</v>
      </c>
      <c r="G79" t="s">
        <v>424</v>
      </c>
      <c r="K79">
        <v>2024</v>
      </c>
      <c r="L79">
        <v>0</v>
      </c>
      <c r="M79" t="s">
        <v>333</v>
      </c>
    </row>
    <row r="80" spans="1:13" hidden="1" x14ac:dyDescent="0.2">
      <c r="A80" t="s">
        <v>756</v>
      </c>
      <c r="B80" t="b">
        <v>1</v>
      </c>
      <c r="C80" t="s">
        <v>73</v>
      </c>
      <c r="D80" t="b">
        <v>1</v>
      </c>
      <c r="E80" t="s">
        <v>654</v>
      </c>
      <c r="F80" t="s">
        <v>104</v>
      </c>
      <c r="G80" t="s">
        <v>412</v>
      </c>
      <c r="H80" t="b">
        <v>0</v>
      </c>
      <c r="K80">
        <v>2024</v>
      </c>
      <c r="L80">
        <v>3</v>
      </c>
      <c r="M80" t="s">
        <v>320</v>
      </c>
    </row>
    <row r="81" spans="1:13" hidden="1" x14ac:dyDescent="0.2">
      <c r="A81" t="s">
        <v>757</v>
      </c>
      <c r="B81" t="b">
        <v>1</v>
      </c>
      <c r="C81" t="s">
        <v>70</v>
      </c>
      <c r="D81" t="b">
        <v>0</v>
      </c>
      <c r="E81" t="s">
        <v>673</v>
      </c>
      <c r="F81" t="s">
        <v>505</v>
      </c>
      <c r="G81" t="s">
        <v>430</v>
      </c>
      <c r="K81">
        <v>2023</v>
      </c>
      <c r="L81">
        <v>3</v>
      </c>
      <c r="M81" t="s">
        <v>340</v>
      </c>
    </row>
    <row r="82" spans="1:13" hidden="1" x14ac:dyDescent="0.2">
      <c r="A82" t="s">
        <v>616</v>
      </c>
      <c r="B82" t="b">
        <v>0</v>
      </c>
      <c r="C82" t="s">
        <v>307</v>
      </c>
      <c r="E82" t="s">
        <v>104</v>
      </c>
      <c r="F82" t="s">
        <v>104</v>
      </c>
      <c r="G82" t="s">
        <v>744</v>
      </c>
      <c r="K82">
        <v>2021</v>
      </c>
      <c r="L82">
        <v>0</v>
      </c>
      <c r="M82" t="s">
        <v>395</v>
      </c>
    </row>
    <row r="83" spans="1:13" hidden="1" x14ac:dyDescent="0.2">
      <c r="A83" t="s">
        <v>758</v>
      </c>
      <c r="B83" t="b">
        <v>1</v>
      </c>
      <c r="C83" t="s">
        <v>88</v>
      </c>
      <c r="D83" t="b">
        <v>1</v>
      </c>
      <c r="E83" t="s">
        <v>705</v>
      </c>
      <c r="F83" t="s">
        <v>529</v>
      </c>
      <c r="G83" t="s">
        <v>463</v>
      </c>
      <c r="H83" t="b">
        <v>1</v>
      </c>
      <c r="I83" t="b">
        <v>0</v>
      </c>
      <c r="J83" t="s">
        <v>780</v>
      </c>
      <c r="K83">
        <v>2022</v>
      </c>
      <c r="L83">
        <v>9</v>
      </c>
      <c r="M83" t="s">
        <v>379</v>
      </c>
    </row>
    <row r="84" spans="1:13" hidden="1" x14ac:dyDescent="0.2">
      <c r="A84" t="s">
        <v>617</v>
      </c>
      <c r="B84" t="b">
        <v>1</v>
      </c>
      <c r="C84" t="s">
        <v>57</v>
      </c>
      <c r="D84" t="b">
        <v>0</v>
      </c>
      <c r="E84" t="s">
        <v>695</v>
      </c>
      <c r="F84" t="s">
        <v>107</v>
      </c>
      <c r="G84" t="s">
        <v>454</v>
      </c>
      <c r="K84">
        <v>2022</v>
      </c>
      <c r="L84">
        <v>11</v>
      </c>
      <c r="M84" t="s">
        <v>367</v>
      </c>
    </row>
    <row r="85" spans="1:13" hidden="1" x14ac:dyDescent="0.2">
      <c r="A85" t="s">
        <v>618</v>
      </c>
      <c r="B85" t="b">
        <v>1</v>
      </c>
      <c r="C85" t="s">
        <v>274</v>
      </c>
      <c r="D85" t="b">
        <v>0</v>
      </c>
      <c r="E85" t="s">
        <v>658</v>
      </c>
      <c r="F85" t="s">
        <v>493</v>
      </c>
      <c r="G85" t="s">
        <v>416</v>
      </c>
      <c r="K85">
        <v>2024</v>
      </c>
      <c r="L85">
        <v>0</v>
      </c>
      <c r="M85" t="s">
        <v>324</v>
      </c>
    </row>
    <row r="86" spans="1:13" hidden="1" x14ac:dyDescent="0.2">
      <c r="A86" t="s">
        <v>619</v>
      </c>
      <c r="B86" t="b">
        <v>1</v>
      </c>
      <c r="C86" t="s">
        <v>281</v>
      </c>
      <c r="D86" t="b">
        <v>1</v>
      </c>
      <c r="E86" t="s">
        <v>674</v>
      </c>
      <c r="F86" t="s">
        <v>104</v>
      </c>
      <c r="G86" t="s">
        <v>431</v>
      </c>
      <c r="H86" t="b">
        <v>0</v>
      </c>
      <c r="K86">
        <v>2023</v>
      </c>
      <c r="L86">
        <v>8</v>
      </c>
      <c r="M86" t="s">
        <v>341</v>
      </c>
    </row>
    <row r="87" spans="1:13" x14ac:dyDescent="0.2">
      <c r="A87" t="s">
        <v>787</v>
      </c>
      <c r="B87" t="b">
        <v>1</v>
      </c>
      <c r="C87" t="s">
        <v>54</v>
      </c>
      <c r="D87" t="b">
        <v>1</v>
      </c>
      <c r="E87" t="s">
        <v>697</v>
      </c>
      <c r="F87" t="s">
        <v>104</v>
      </c>
      <c r="G87" t="s">
        <v>456</v>
      </c>
      <c r="H87" t="b">
        <v>1</v>
      </c>
      <c r="I87" t="b">
        <v>1</v>
      </c>
      <c r="K87">
        <v>2022</v>
      </c>
      <c r="L87">
        <v>2</v>
      </c>
      <c r="M87" t="s">
        <v>369</v>
      </c>
    </row>
    <row r="88" spans="1:13" hidden="1" x14ac:dyDescent="0.2">
      <c r="A88" t="s">
        <v>620</v>
      </c>
      <c r="B88" t="b">
        <v>1</v>
      </c>
      <c r="C88" t="s">
        <v>299</v>
      </c>
      <c r="D88" t="b">
        <v>1</v>
      </c>
      <c r="E88" t="s">
        <v>703</v>
      </c>
      <c r="F88" t="s">
        <v>527</v>
      </c>
      <c r="G88" t="s">
        <v>743</v>
      </c>
      <c r="H88" t="b">
        <v>0</v>
      </c>
      <c r="K88">
        <v>2021</v>
      </c>
      <c r="L88">
        <v>3</v>
      </c>
      <c r="M88" t="s">
        <v>377</v>
      </c>
    </row>
    <row r="89" spans="1:13" hidden="1" x14ac:dyDescent="0.2">
      <c r="A89" t="s">
        <v>621</v>
      </c>
      <c r="B89" t="b">
        <v>1</v>
      </c>
      <c r="C89" t="s">
        <v>205</v>
      </c>
      <c r="D89" t="b">
        <v>0</v>
      </c>
      <c r="E89" t="s">
        <v>677</v>
      </c>
      <c r="F89" t="s">
        <v>506</v>
      </c>
      <c r="G89" t="s">
        <v>435</v>
      </c>
      <c r="K89">
        <v>2023</v>
      </c>
      <c r="L89">
        <v>0</v>
      </c>
      <c r="M89" t="s">
        <v>345</v>
      </c>
    </row>
    <row r="90" spans="1:13" hidden="1" x14ac:dyDescent="0.2">
      <c r="A90" t="s">
        <v>622</v>
      </c>
      <c r="B90" t="b">
        <v>1</v>
      </c>
      <c r="C90" t="s">
        <v>273</v>
      </c>
      <c r="D90" t="b">
        <v>1</v>
      </c>
      <c r="E90" t="s">
        <v>656</v>
      </c>
      <c r="F90" t="s">
        <v>491</v>
      </c>
      <c r="G90" t="s">
        <v>414</v>
      </c>
      <c r="H90" t="b">
        <v>1</v>
      </c>
      <c r="I90" t="b">
        <v>0</v>
      </c>
      <c r="J90" t="s">
        <v>782</v>
      </c>
      <c r="K90">
        <v>2024</v>
      </c>
      <c r="L90">
        <v>0</v>
      </c>
      <c r="M90" t="s">
        <v>322</v>
      </c>
    </row>
    <row r="91" spans="1:13" hidden="1" x14ac:dyDescent="0.2">
      <c r="A91" t="s">
        <v>759</v>
      </c>
      <c r="B91" t="b">
        <v>0</v>
      </c>
      <c r="C91" t="s">
        <v>289</v>
      </c>
      <c r="E91" t="s">
        <v>104</v>
      </c>
      <c r="F91" t="s">
        <v>104</v>
      </c>
      <c r="G91" t="s">
        <v>447</v>
      </c>
      <c r="K91">
        <v>2023</v>
      </c>
      <c r="L91">
        <v>0</v>
      </c>
      <c r="M91" t="s">
        <v>358</v>
      </c>
    </row>
    <row r="92" spans="1:13" hidden="1" x14ac:dyDescent="0.2">
      <c r="A92" t="s">
        <v>623</v>
      </c>
      <c r="B92" t="b">
        <v>0</v>
      </c>
      <c r="C92" t="s">
        <v>276</v>
      </c>
      <c r="E92" t="s">
        <v>104</v>
      </c>
      <c r="F92" t="s">
        <v>104</v>
      </c>
      <c r="G92" t="s">
        <v>419</v>
      </c>
      <c r="K92">
        <v>2024</v>
      </c>
      <c r="L92">
        <v>0</v>
      </c>
      <c r="M92" t="s">
        <v>328</v>
      </c>
    </row>
    <row r="93" spans="1:13" hidden="1" x14ac:dyDescent="0.2">
      <c r="A93" t="s">
        <v>624</v>
      </c>
      <c r="B93" t="b">
        <v>1</v>
      </c>
      <c r="C93" t="s">
        <v>275</v>
      </c>
      <c r="D93" t="b">
        <v>0</v>
      </c>
      <c r="E93" t="s">
        <v>659</v>
      </c>
      <c r="F93" t="s">
        <v>494</v>
      </c>
      <c r="G93" t="s">
        <v>735</v>
      </c>
      <c r="K93">
        <v>2024</v>
      </c>
      <c r="L93">
        <v>0</v>
      </c>
      <c r="M93" t="s">
        <v>325</v>
      </c>
    </row>
    <row r="94" spans="1:13" hidden="1" x14ac:dyDescent="0.2">
      <c r="A94" t="s">
        <v>625</v>
      </c>
      <c r="B94" t="b">
        <v>1</v>
      </c>
      <c r="C94" t="s">
        <v>300</v>
      </c>
      <c r="D94" t="b">
        <v>0</v>
      </c>
      <c r="E94" t="s">
        <v>707</v>
      </c>
      <c r="F94" t="s">
        <v>531</v>
      </c>
      <c r="G94" t="s">
        <v>465</v>
      </c>
      <c r="K94">
        <v>2022</v>
      </c>
      <c r="L94">
        <v>0</v>
      </c>
      <c r="M94" t="s">
        <v>381</v>
      </c>
    </row>
    <row r="95" spans="1:13" hidden="1" x14ac:dyDescent="0.2">
      <c r="A95" t="s">
        <v>760</v>
      </c>
      <c r="B95" t="b">
        <v>1</v>
      </c>
      <c r="C95" t="s">
        <v>79</v>
      </c>
      <c r="D95" t="b">
        <v>1</v>
      </c>
      <c r="E95" t="s">
        <v>32</v>
      </c>
      <c r="F95" t="s">
        <v>104</v>
      </c>
      <c r="G95" t="s">
        <v>163</v>
      </c>
      <c r="H95" t="b">
        <v>0</v>
      </c>
      <c r="K95">
        <v>2020</v>
      </c>
      <c r="L95">
        <v>5</v>
      </c>
      <c r="M95" t="s">
        <v>182</v>
      </c>
    </row>
    <row r="96" spans="1:13" hidden="1" x14ac:dyDescent="0.2">
      <c r="A96" t="s">
        <v>932</v>
      </c>
      <c r="B96" t="b">
        <v>1</v>
      </c>
      <c r="C96" t="s">
        <v>868</v>
      </c>
      <c r="D96" t="b">
        <v>0</v>
      </c>
      <c r="E96" t="s">
        <v>852</v>
      </c>
      <c r="F96" t="s">
        <v>104</v>
      </c>
      <c r="G96" t="s">
        <v>902</v>
      </c>
      <c r="K96">
        <v>2020</v>
      </c>
      <c r="L96">
        <v>2</v>
      </c>
      <c r="M96" t="s">
        <v>883</v>
      </c>
    </row>
    <row r="97" spans="1:13" x14ac:dyDescent="0.2">
      <c r="A97" t="s">
        <v>933</v>
      </c>
      <c r="B97" t="b">
        <v>1</v>
      </c>
      <c r="C97" t="s">
        <v>869</v>
      </c>
      <c r="D97" t="b">
        <v>1</v>
      </c>
      <c r="E97" t="s">
        <v>853</v>
      </c>
      <c r="F97" t="s">
        <v>920</v>
      </c>
      <c r="G97" t="s">
        <v>903</v>
      </c>
      <c r="H97" t="b">
        <v>1</v>
      </c>
      <c r="I97" t="b">
        <v>1</v>
      </c>
      <c r="K97">
        <v>2020</v>
      </c>
      <c r="L97">
        <v>2</v>
      </c>
      <c r="M97" t="s">
        <v>884</v>
      </c>
    </row>
    <row r="98" spans="1:13" hidden="1" x14ac:dyDescent="0.2">
      <c r="A98" t="s">
        <v>729</v>
      </c>
      <c r="B98" t="b">
        <v>1</v>
      </c>
      <c r="C98" t="s">
        <v>871</v>
      </c>
      <c r="D98" t="b">
        <v>0</v>
      </c>
      <c r="E98" t="s">
        <v>857</v>
      </c>
      <c r="F98" t="s">
        <v>924</v>
      </c>
      <c r="G98" t="s">
        <v>907</v>
      </c>
      <c r="K98">
        <v>2024</v>
      </c>
      <c r="L98">
        <v>0</v>
      </c>
      <c r="M98" t="s">
        <v>888</v>
      </c>
    </row>
    <row r="99" spans="1:13" hidden="1" x14ac:dyDescent="0.2">
      <c r="A99" t="s">
        <v>593</v>
      </c>
      <c r="B99" t="b">
        <v>1</v>
      </c>
      <c r="C99" t="s">
        <v>874</v>
      </c>
      <c r="D99" t="b">
        <v>0</v>
      </c>
      <c r="E99" t="s">
        <v>860</v>
      </c>
      <c r="F99" t="s">
        <v>927</v>
      </c>
      <c r="G99" t="s">
        <v>910</v>
      </c>
      <c r="K99">
        <v>2021</v>
      </c>
      <c r="L99">
        <v>3</v>
      </c>
      <c r="M99" t="s">
        <v>891</v>
      </c>
    </row>
    <row r="100" spans="1:13" hidden="1" x14ac:dyDescent="0.2">
      <c r="A100" t="s">
        <v>594</v>
      </c>
      <c r="B100" t="b">
        <v>1</v>
      </c>
      <c r="C100" t="s">
        <v>875</v>
      </c>
      <c r="D100" t="b">
        <v>0</v>
      </c>
      <c r="E100" t="s">
        <v>861</v>
      </c>
      <c r="F100" t="s">
        <v>104</v>
      </c>
      <c r="G100" t="s">
        <v>911</v>
      </c>
      <c r="K100">
        <v>2020</v>
      </c>
      <c r="L100">
        <v>11</v>
      </c>
      <c r="M100" t="s">
        <v>892</v>
      </c>
    </row>
    <row r="101" spans="1:13" hidden="1" x14ac:dyDescent="0.2">
      <c r="A101" t="s">
        <v>934</v>
      </c>
      <c r="B101" t="b">
        <v>1</v>
      </c>
      <c r="C101" t="s">
        <v>876</v>
      </c>
      <c r="D101" t="b">
        <v>0</v>
      </c>
      <c r="E101" t="s">
        <v>863</v>
      </c>
      <c r="F101" t="s">
        <v>928</v>
      </c>
      <c r="G101" t="s">
        <v>913</v>
      </c>
      <c r="K101">
        <v>2021</v>
      </c>
      <c r="L101">
        <v>2</v>
      </c>
      <c r="M101" t="s">
        <v>894</v>
      </c>
    </row>
    <row r="102" spans="1:13" hidden="1" x14ac:dyDescent="0.2">
      <c r="A102" t="s">
        <v>597</v>
      </c>
      <c r="B102" t="b">
        <v>1</v>
      </c>
      <c r="C102" t="s">
        <v>877</v>
      </c>
      <c r="D102" t="b">
        <v>0</v>
      </c>
      <c r="E102" t="s">
        <v>864</v>
      </c>
      <c r="F102" t="s">
        <v>929</v>
      </c>
      <c r="G102" t="s">
        <v>914</v>
      </c>
      <c r="K102">
        <v>2020</v>
      </c>
      <c r="L102">
        <v>0</v>
      </c>
      <c r="M102" t="s">
        <v>895</v>
      </c>
    </row>
    <row r="103" spans="1:13" hidden="1" x14ac:dyDescent="0.2">
      <c r="A103" t="s">
        <v>748</v>
      </c>
      <c r="B103" t="b">
        <v>1</v>
      </c>
      <c r="C103" t="s">
        <v>878</v>
      </c>
      <c r="D103" t="b">
        <v>0</v>
      </c>
      <c r="E103" t="s">
        <v>865</v>
      </c>
      <c r="F103" t="s">
        <v>930</v>
      </c>
      <c r="G103" t="s">
        <v>915</v>
      </c>
      <c r="K103">
        <v>2024</v>
      </c>
      <c r="L103">
        <v>0</v>
      </c>
      <c r="M103" t="s">
        <v>896</v>
      </c>
    </row>
    <row r="104" spans="1:13" hidden="1" x14ac:dyDescent="0.2">
      <c r="A104" t="s">
        <v>731</v>
      </c>
      <c r="B104" t="b">
        <v>1</v>
      </c>
      <c r="C104" t="s">
        <v>827</v>
      </c>
      <c r="D104" t="b">
        <v>0</v>
      </c>
      <c r="E104" t="s">
        <v>866</v>
      </c>
      <c r="F104" t="s">
        <v>931</v>
      </c>
      <c r="G104" t="s">
        <v>916</v>
      </c>
      <c r="K104">
        <v>2024</v>
      </c>
      <c r="L104">
        <v>0</v>
      </c>
      <c r="M104" t="s">
        <v>897</v>
      </c>
    </row>
    <row r="105" spans="1:13" hidden="1" x14ac:dyDescent="0.2">
      <c r="A105" t="s">
        <v>935</v>
      </c>
      <c r="B105" t="b">
        <v>1</v>
      </c>
      <c r="C105" t="s">
        <v>803</v>
      </c>
      <c r="D105" t="b">
        <v>1</v>
      </c>
      <c r="E105" t="s">
        <v>795</v>
      </c>
      <c r="F105" t="s">
        <v>104</v>
      </c>
      <c r="G105" t="s">
        <v>817</v>
      </c>
      <c r="H105" t="b">
        <v>0</v>
      </c>
      <c r="K105">
        <v>2023</v>
      </c>
      <c r="L105">
        <v>1</v>
      </c>
      <c r="M105" t="s">
        <v>936</v>
      </c>
    </row>
    <row r="106" spans="1:13" hidden="1" x14ac:dyDescent="0.2">
      <c r="A106" t="s">
        <v>937</v>
      </c>
      <c r="B106" t="b">
        <v>1</v>
      </c>
      <c r="C106" t="s">
        <v>804</v>
      </c>
      <c r="D106" t="b">
        <v>1</v>
      </c>
      <c r="E106" t="s">
        <v>796</v>
      </c>
      <c r="F106" t="s">
        <v>810</v>
      </c>
      <c r="G106" t="s">
        <v>818</v>
      </c>
      <c r="H106" t="b">
        <v>0</v>
      </c>
      <c r="K106">
        <v>2021</v>
      </c>
      <c r="L106">
        <v>5</v>
      </c>
      <c r="M106" t="s">
        <v>938</v>
      </c>
    </row>
    <row r="107" spans="1:13" hidden="1" x14ac:dyDescent="0.2">
      <c r="A107" t="s">
        <v>939</v>
      </c>
      <c r="B107" t="b">
        <v>1</v>
      </c>
      <c r="C107" t="s">
        <v>805</v>
      </c>
      <c r="D107" t="b">
        <v>0</v>
      </c>
      <c r="E107" t="s">
        <v>797</v>
      </c>
      <c r="F107" t="s">
        <v>811</v>
      </c>
      <c r="G107" t="s">
        <v>819</v>
      </c>
      <c r="K107">
        <v>2021</v>
      </c>
      <c r="L107">
        <v>1</v>
      </c>
      <c r="M107" t="s">
        <v>940</v>
      </c>
    </row>
    <row r="108" spans="1:13" hidden="1" x14ac:dyDescent="0.2">
      <c r="A108" t="s">
        <v>941</v>
      </c>
      <c r="B108" t="b">
        <v>1</v>
      </c>
      <c r="C108" t="s">
        <v>806</v>
      </c>
      <c r="D108" t="b">
        <v>0</v>
      </c>
      <c r="E108" t="s">
        <v>798</v>
      </c>
      <c r="F108" t="s">
        <v>812</v>
      </c>
      <c r="G108" t="s">
        <v>820</v>
      </c>
      <c r="K108">
        <v>2020</v>
      </c>
      <c r="L108">
        <v>22</v>
      </c>
      <c r="M108" t="s">
        <v>942</v>
      </c>
    </row>
    <row r="109" spans="1:13" hidden="1" x14ac:dyDescent="0.2">
      <c r="A109" t="s">
        <v>943</v>
      </c>
      <c r="B109" t="b">
        <v>1</v>
      </c>
      <c r="C109" t="s">
        <v>807</v>
      </c>
      <c r="D109" t="b">
        <v>0</v>
      </c>
      <c r="E109" t="s">
        <v>799</v>
      </c>
      <c r="F109" t="s">
        <v>813</v>
      </c>
      <c r="G109" t="s">
        <v>821</v>
      </c>
      <c r="K109">
        <v>2022</v>
      </c>
      <c r="L109">
        <v>37</v>
      </c>
      <c r="M109" t="s">
        <v>944</v>
      </c>
    </row>
    <row r="110" spans="1:13" hidden="1" x14ac:dyDescent="0.2">
      <c r="A110" t="s">
        <v>945</v>
      </c>
      <c r="B110" t="b">
        <v>1</v>
      </c>
      <c r="C110" t="s">
        <v>808</v>
      </c>
      <c r="D110" t="b">
        <v>0</v>
      </c>
      <c r="E110" t="s">
        <v>800</v>
      </c>
      <c r="F110" t="s">
        <v>814</v>
      </c>
      <c r="G110" t="s">
        <v>822</v>
      </c>
      <c r="K110">
        <v>2021</v>
      </c>
      <c r="L110">
        <v>3</v>
      </c>
      <c r="M110" t="s">
        <v>946</v>
      </c>
    </row>
    <row r="111" spans="1:13" hidden="1" x14ac:dyDescent="0.2">
      <c r="A111" t="s">
        <v>947</v>
      </c>
      <c r="B111" t="b">
        <v>1</v>
      </c>
      <c r="C111" t="s">
        <v>809</v>
      </c>
      <c r="D111" t="b">
        <v>0</v>
      </c>
      <c r="E111" t="s">
        <v>801</v>
      </c>
      <c r="F111" t="s">
        <v>815</v>
      </c>
      <c r="G111" t="s">
        <v>823</v>
      </c>
      <c r="K111">
        <v>2024</v>
      </c>
      <c r="L111">
        <v>0</v>
      </c>
      <c r="M111" t="s">
        <v>948</v>
      </c>
    </row>
    <row r="112" spans="1:13" hidden="1" x14ac:dyDescent="0.2">
      <c r="A112" t="s">
        <v>949</v>
      </c>
      <c r="B112" t="b">
        <v>1</v>
      </c>
      <c r="C112" t="s">
        <v>791</v>
      </c>
      <c r="D112" t="b">
        <v>0</v>
      </c>
      <c r="E112" t="s">
        <v>802</v>
      </c>
      <c r="F112" t="s">
        <v>816</v>
      </c>
      <c r="G112" t="s">
        <v>824</v>
      </c>
      <c r="K112">
        <v>2020</v>
      </c>
      <c r="L112">
        <v>35</v>
      </c>
      <c r="M112" t="s">
        <v>950</v>
      </c>
    </row>
    <row r="113" spans="1:13" x14ac:dyDescent="0.2">
      <c r="A113" t="s">
        <v>951</v>
      </c>
      <c r="B113" t="b">
        <v>1</v>
      </c>
      <c r="C113" t="s">
        <v>952</v>
      </c>
      <c r="D113" t="b">
        <v>1</v>
      </c>
      <c r="E113" t="s">
        <v>953</v>
      </c>
      <c r="F113" t="s">
        <v>203</v>
      </c>
      <c r="G113" t="s">
        <v>954</v>
      </c>
      <c r="H113" t="b">
        <v>1</v>
      </c>
      <c r="I113" t="b">
        <v>1</v>
      </c>
      <c r="K113">
        <v>2020</v>
      </c>
      <c r="L113">
        <v>58</v>
      </c>
      <c r="M113" t="s">
        <v>955</v>
      </c>
    </row>
    <row r="114" spans="1:13" x14ac:dyDescent="0.2">
      <c r="A114" t="s">
        <v>960</v>
      </c>
      <c r="B114" t="b">
        <v>1</v>
      </c>
      <c r="C114" t="s">
        <v>956</v>
      </c>
      <c r="D114" t="b">
        <v>1</v>
      </c>
      <c r="E114" t="s">
        <v>957</v>
      </c>
      <c r="F114" t="s">
        <v>203</v>
      </c>
      <c r="G114" t="s">
        <v>958</v>
      </c>
      <c r="H114" t="b">
        <v>1</v>
      </c>
      <c r="I114" t="b">
        <v>1</v>
      </c>
      <c r="K114">
        <v>2021</v>
      </c>
      <c r="L114">
        <v>7</v>
      </c>
      <c r="M114" t="s">
        <v>959</v>
      </c>
    </row>
    <row r="115" spans="1:13" x14ac:dyDescent="0.2">
      <c r="A115" t="str">
        <f>"Forward_" &amp; ROW()-1</f>
        <v>Forward_114</v>
      </c>
      <c r="B115" t="b">
        <v>1</v>
      </c>
      <c r="C115" s="33" t="s">
        <v>273</v>
      </c>
      <c r="D115" t="b">
        <v>1</v>
      </c>
      <c r="E115" t="s">
        <v>964</v>
      </c>
      <c r="G115" t="s">
        <v>965</v>
      </c>
      <c r="H115" t="b">
        <v>1</v>
      </c>
      <c r="I115" t="b">
        <v>1</v>
      </c>
      <c r="K115">
        <v>2024</v>
      </c>
      <c r="M115" s="25" t="s">
        <v>966</v>
      </c>
    </row>
  </sheetData>
  <conditionalFormatting sqref="C115">
    <cfRule type="duplicateValues" dxfId="5" priority="1"/>
  </conditionalFormatting>
  <conditionalFormatting sqref="C116:C1048576 C1:C112 E113:E114">
    <cfRule type="duplicateValues" dxfId="4" priority="3"/>
  </conditionalFormatting>
  <conditionalFormatting sqref="F115 C115">
    <cfRule type="duplicateValues" dxfId="3" priority="2"/>
  </conditionalFormatting>
  <hyperlinks>
    <hyperlink ref="M115" r:id="rId1" xr:uid="{269F43C3-5930-47EC-AAA4-2E7AEA88CC69}"/>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5FCD-C2F6-4C5A-AD11-22F1539DC806}">
  <dimension ref="A1:H6"/>
  <sheetViews>
    <sheetView workbookViewId="0">
      <selection activeCell="A3" sqref="A3"/>
    </sheetView>
  </sheetViews>
  <sheetFormatPr baseColWidth="10" defaultColWidth="8.83203125" defaultRowHeight="15" x14ac:dyDescent="0.2"/>
  <cols>
    <col min="2" max="2" width="60.6640625" customWidth="1"/>
    <col min="3" max="3" width="17.5" customWidth="1"/>
    <col min="4" max="4" width="20.5" customWidth="1"/>
    <col min="5" max="5" width="49.5" customWidth="1"/>
    <col min="6" max="6" width="19.1640625" customWidth="1"/>
    <col min="7" max="7" width="20" customWidth="1"/>
    <col min="8" max="8" width="44.33203125" customWidth="1"/>
  </cols>
  <sheetData>
    <row r="1" spans="1:8" x14ac:dyDescent="0.2">
      <c r="A1" s="9" t="s">
        <v>184</v>
      </c>
      <c r="B1" s="10" t="s">
        <v>50</v>
      </c>
      <c r="C1" s="10" t="s">
        <v>8</v>
      </c>
      <c r="D1" s="10" t="s">
        <v>101</v>
      </c>
      <c r="E1" s="10" t="s">
        <v>137</v>
      </c>
      <c r="F1" s="11" t="s">
        <v>181</v>
      </c>
      <c r="G1" s="11" t="s">
        <v>183</v>
      </c>
      <c r="H1" s="12" t="s">
        <v>272</v>
      </c>
    </row>
    <row r="2" spans="1:8" x14ac:dyDescent="0.2">
      <c r="A2" t="str">
        <f t="shared" ref="A2:A6" si="0">"1_ACM_" &amp; ROW()-1</f>
        <v>1_ACM_1</v>
      </c>
      <c r="B2" t="s">
        <v>190</v>
      </c>
      <c r="C2" t="s">
        <v>185</v>
      </c>
      <c r="D2" s="13" t="s">
        <v>203</v>
      </c>
      <c r="E2" t="s">
        <v>732</v>
      </c>
      <c r="F2">
        <v>2022</v>
      </c>
      <c r="G2">
        <v>1</v>
      </c>
      <c r="H2" t="s">
        <v>195</v>
      </c>
    </row>
    <row r="3" spans="1:8" x14ac:dyDescent="0.2">
      <c r="A3" t="str">
        <f t="shared" si="0"/>
        <v>1_ACM_2</v>
      </c>
      <c r="B3" t="s">
        <v>191</v>
      </c>
      <c r="C3" t="s">
        <v>186</v>
      </c>
      <c r="D3" s="13" t="s">
        <v>203</v>
      </c>
      <c r="E3" t="s">
        <v>200</v>
      </c>
      <c r="F3">
        <v>2024</v>
      </c>
      <c r="G3">
        <v>0</v>
      </c>
      <c r="H3" t="s">
        <v>196</v>
      </c>
    </row>
    <row r="4" spans="1:8" x14ac:dyDescent="0.2">
      <c r="A4" t="str">
        <f t="shared" si="0"/>
        <v>1_ACM_3</v>
      </c>
      <c r="B4" t="s">
        <v>193</v>
      </c>
      <c r="C4" t="s">
        <v>188</v>
      </c>
      <c r="D4" s="13" t="s">
        <v>203</v>
      </c>
      <c r="E4" t="s">
        <v>202</v>
      </c>
      <c r="F4">
        <v>2020</v>
      </c>
      <c r="G4">
        <v>4</v>
      </c>
      <c r="H4" t="s">
        <v>198</v>
      </c>
    </row>
    <row r="5" spans="1:8" x14ac:dyDescent="0.2">
      <c r="A5" t="str">
        <f t="shared" si="0"/>
        <v>1_ACM_4</v>
      </c>
      <c r="B5" t="s">
        <v>192</v>
      </c>
      <c r="C5" t="s">
        <v>187</v>
      </c>
      <c r="D5" s="13" t="s">
        <v>203</v>
      </c>
      <c r="E5" t="s">
        <v>201</v>
      </c>
      <c r="F5">
        <v>2021</v>
      </c>
      <c r="G5">
        <v>11</v>
      </c>
      <c r="H5" t="s">
        <v>197</v>
      </c>
    </row>
    <row r="6" spans="1:8" x14ac:dyDescent="0.2">
      <c r="A6" t="str">
        <f t="shared" si="0"/>
        <v>1_ACM_5</v>
      </c>
      <c r="B6" t="s">
        <v>194</v>
      </c>
      <c r="C6" t="s">
        <v>189</v>
      </c>
      <c r="D6" s="13" t="s">
        <v>203</v>
      </c>
      <c r="E6" t="s">
        <v>175</v>
      </c>
      <c r="F6">
        <v>2021</v>
      </c>
      <c r="G6">
        <v>9</v>
      </c>
      <c r="H6" t="s">
        <v>199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1F1D-B39C-45C8-BF59-673F47096417}">
  <dimension ref="A1:H29"/>
  <sheetViews>
    <sheetView workbookViewId="0">
      <selection activeCell="B2" sqref="A2:H2"/>
    </sheetView>
  </sheetViews>
  <sheetFormatPr baseColWidth="10" defaultColWidth="8.83203125" defaultRowHeight="15" x14ac:dyDescent="0.2"/>
  <cols>
    <col min="2" max="2" width="46.5" customWidth="1"/>
    <col min="3" max="3" width="20.6640625" customWidth="1"/>
    <col min="4" max="4" width="19.83203125" customWidth="1"/>
    <col min="5" max="5" width="103.33203125" customWidth="1"/>
    <col min="6" max="6" width="18.6640625" customWidth="1"/>
    <col min="7" max="7" width="19.5" customWidth="1"/>
    <col min="8" max="8" width="31" customWidth="1"/>
  </cols>
  <sheetData>
    <row r="1" spans="1:8" x14ac:dyDescent="0.2">
      <c r="A1" s="9" t="s">
        <v>184</v>
      </c>
      <c r="B1" s="10" t="s">
        <v>50</v>
      </c>
      <c r="C1" s="10" t="s">
        <v>8</v>
      </c>
      <c r="D1" s="10" t="s">
        <v>101</v>
      </c>
      <c r="E1" s="10" t="s">
        <v>137</v>
      </c>
      <c r="F1" s="11" t="s">
        <v>181</v>
      </c>
      <c r="G1" s="11" t="s">
        <v>183</v>
      </c>
      <c r="H1" s="12" t="s">
        <v>272</v>
      </c>
    </row>
    <row r="2" spans="1:8" x14ac:dyDescent="0.2">
      <c r="A2" t="str">
        <f t="shared" ref="A2:A29" si="0">"1_IEEE_" &amp; ROW()-1</f>
        <v>1_IEEE_1</v>
      </c>
      <c r="B2" t="s">
        <v>204</v>
      </c>
      <c r="C2" t="s">
        <v>627</v>
      </c>
      <c r="D2" t="s">
        <v>250</v>
      </c>
      <c r="E2" t="s">
        <v>212</v>
      </c>
      <c r="F2">
        <v>2023</v>
      </c>
      <c r="H2" t="s">
        <v>222</v>
      </c>
    </row>
    <row r="3" spans="1:8" x14ac:dyDescent="0.2">
      <c r="A3" t="str">
        <f t="shared" si="0"/>
        <v>1_IEEE_2</v>
      </c>
      <c r="B3" t="s">
        <v>53</v>
      </c>
      <c r="C3" t="s">
        <v>626</v>
      </c>
      <c r="D3" t="s">
        <v>249</v>
      </c>
      <c r="E3" t="s">
        <v>140</v>
      </c>
      <c r="F3">
        <v>2020</v>
      </c>
      <c r="H3" t="s">
        <v>221</v>
      </c>
    </row>
    <row r="4" spans="1:8" x14ac:dyDescent="0.2">
      <c r="A4" t="str">
        <f t="shared" si="0"/>
        <v>1_IEEE_3</v>
      </c>
      <c r="B4" t="s">
        <v>62</v>
      </c>
      <c r="C4" t="s">
        <v>629</v>
      </c>
      <c r="D4" t="s">
        <v>252</v>
      </c>
      <c r="E4" t="s">
        <v>147</v>
      </c>
      <c r="F4">
        <v>2022</v>
      </c>
      <c r="H4" t="s">
        <v>224</v>
      </c>
    </row>
    <row r="5" spans="1:8" x14ac:dyDescent="0.2">
      <c r="A5" t="str">
        <f t="shared" si="0"/>
        <v>1_IEEE_4</v>
      </c>
      <c r="B5" t="s">
        <v>86</v>
      </c>
      <c r="C5" t="s">
        <v>646</v>
      </c>
      <c r="D5" t="s">
        <v>267</v>
      </c>
      <c r="E5" t="s">
        <v>169</v>
      </c>
      <c r="F5">
        <v>2023</v>
      </c>
      <c r="G5">
        <v>3</v>
      </c>
      <c r="H5" t="s">
        <v>243</v>
      </c>
    </row>
    <row r="6" spans="1:8" x14ac:dyDescent="0.2">
      <c r="A6" t="str">
        <f t="shared" si="0"/>
        <v>1_IEEE_5</v>
      </c>
      <c r="B6" t="s">
        <v>66</v>
      </c>
      <c r="C6" t="s">
        <v>626</v>
      </c>
      <c r="D6" t="s">
        <v>253</v>
      </c>
      <c r="E6" t="s">
        <v>151</v>
      </c>
      <c r="F6">
        <v>2021</v>
      </c>
      <c r="G6">
        <v>3</v>
      </c>
      <c r="H6" t="s">
        <v>225</v>
      </c>
    </row>
    <row r="7" spans="1:8" x14ac:dyDescent="0.2">
      <c r="A7" t="str">
        <f t="shared" si="0"/>
        <v>1_IEEE_6</v>
      </c>
      <c r="B7" t="s">
        <v>55</v>
      </c>
      <c r="C7" t="s">
        <v>628</v>
      </c>
      <c r="D7" t="s">
        <v>251</v>
      </c>
      <c r="E7" t="s">
        <v>142</v>
      </c>
      <c r="F7">
        <v>2022</v>
      </c>
      <c r="G7">
        <v>4</v>
      </c>
      <c r="H7" t="s">
        <v>223</v>
      </c>
    </row>
    <row r="8" spans="1:8" x14ac:dyDescent="0.2">
      <c r="A8" t="str">
        <f t="shared" si="0"/>
        <v>1_IEEE_7</v>
      </c>
      <c r="B8" t="s">
        <v>68</v>
      </c>
      <c r="C8" t="s">
        <v>633</v>
      </c>
      <c r="D8" t="s">
        <v>104</v>
      </c>
      <c r="E8" t="s">
        <v>153</v>
      </c>
      <c r="F8">
        <v>2020</v>
      </c>
      <c r="G8">
        <v>10</v>
      </c>
      <c r="H8" t="s">
        <v>229</v>
      </c>
    </row>
    <row r="9" spans="1:8" x14ac:dyDescent="0.2">
      <c r="A9" t="str">
        <f t="shared" si="0"/>
        <v>1_IEEE_8</v>
      </c>
      <c r="B9" t="s">
        <v>58</v>
      </c>
      <c r="C9" t="s">
        <v>631</v>
      </c>
      <c r="D9" t="s">
        <v>255</v>
      </c>
      <c r="E9" t="s">
        <v>144</v>
      </c>
      <c r="F9">
        <v>2024</v>
      </c>
      <c r="G9">
        <v>2</v>
      </c>
      <c r="H9" t="s">
        <v>227</v>
      </c>
    </row>
    <row r="10" spans="1:8" x14ac:dyDescent="0.2">
      <c r="A10" t="str">
        <f t="shared" si="0"/>
        <v>1_IEEE_9</v>
      </c>
      <c r="B10" t="s">
        <v>60</v>
      </c>
      <c r="C10" t="s">
        <v>632</v>
      </c>
      <c r="D10" t="s">
        <v>256</v>
      </c>
      <c r="E10" t="s">
        <v>213</v>
      </c>
      <c r="F10">
        <v>2024</v>
      </c>
      <c r="H10" t="s">
        <v>228</v>
      </c>
    </row>
    <row r="11" spans="1:8" x14ac:dyDescent="0.2">
      <c r="A11" t="str">
        <f t="shared" si="0"/>
        <v>1_IEEE_10</v>
      </c>
      <c r="B11" t="s">
        <v>72</v>
      </c>
      <c r="C11" t="s">
        <v>641</v>
      </c>
      <c r="D11" t="s">
        <v>263</v>
      </c>
      <c r="E11" t="s">
        <v>157</v>
      </c>
      <c r="F11">
        <v>2023</v>
      </c>
      <c r="G11">
        <v>85</v>
      </c>
      <c r="H11" t="s">
        <v>238</v>
      </c>
    </row>
    <row r="12" spans="1:8" x14ac:dyDescent="0.2">
      <c r="A12" t="str">
        <f t="shared" si="0"/>
        <v>1_IEEE_11</v>
      </c>
      <c r="B12" t="s">
        <v>81</v>
      </c>
      <c r="C12" t="s">
        <v>644</v>
      </c>
      <c r="D12" t="s">
        <v>104</v>
      </c>
      <c r="E12" t="s">
        <v>165</v>
      </c>
      <c r="F12">
        <v>2023</v>
      </c>
      <c r="H12" t="s">
        <v>241</v>
      </c>
    </row>
    <row r="13" spans="1:8" x14ac:dyDescent="0.2">
      <c r="A13" t="str">
        <f t="shared" si="0"/>
        <v>1_IEEE_12</v>
      </c>
      <c r="B13" t="s">
        <v>207</v>
      </c>
      <c r="C13" t="s">
        <v>635</v>
      </c>
      <c r="D13" t="s">
        <v>104</v>
      </c>
      <c r="E13" t="s">
        <v>215</v>
      </c>
      <c r="F13">
        <v>2024</v>
      </c>
      <c r="H13" t="s">
        <v>231</v>
      </c>
    </row>
    <row r="14" spans="1:8" x14ac:dyDescent="0.2">
      <c r="A14" t="str">
        <f t="shared" si="0"/>
        <v>1_IEEE_13</v>
      </c>
      <c r="B14" t="s">
        <v>208</v>
      </c>
      <c r="C14" t="s">
        <v>637</v>
      </c>
      <c r="D14" t="s">
        <v>258</v>
      </c>
      <c r="E14" t="s">
        <v>156</v>
      </c>
      <c r="F14">
        <v>2021</v>
      </c>
      <c r="G14">
        <v>7</v>
      </c>
      <c r="H14" t="s">
        <v>233</v>
      </c>
    </row>
    <row r="15" spans="1:8" x14ac:dyDescent="0.2">
      <c r="A15" t="str">
        <f t="shared" si="0"/>
        <v>1_IEEE_14</v>
      </c>
      <c r="B15" t="s">
        <v>65</v>
      </c>
      <c r="C15" t="s">
        <v>638</v>
      </c>
      <c r="D15" t="s">
        <v>260</v>
      </c>
      <c r="E15" t="s">
        <v>150</v>
      </c>
      <c r="F15">
        <v>2023</v>
      </c>
      <c r="G15">
        <v>5</v>
      </c>
      <c r="H15" t="s">
        <v>235</v>
      </c>
    </row>
    <row r="16" spans="1:8" x14ac:dyDescent="0.2">
      <c r="A16" t="str">
        <f t="shared" si="0"/>
        <v>1_IEEE_15</v>
      </c>
      <c r="B16" t="s">
        <v>59</v>
      </c>
      <c r="C16" t="s">
        <v>630</v>
      </c>
      <c r="D16" t="s">
        <v>254</v>
      </c>
      <c r="E16" t="s">
        <v>145</v>
      </c>
      <c r="F16">
        <v>2020</v>
      </c>
      <c r="G16">
        <v>7</v>
      </c>
      <c r="H16" t="s">
        <v>226</v>
      </c>
    </row>
    <row r="17" spans="1:8" x14ac:dyDescent="0.2">
      <c r="A17" t="str">
        <f t="shared" si="0"/>
        <v>1_IEEE_16</v>
      </c>
      <c r="B17" t="s">
        <v>84</v>
      </c>
      <c r="C17" t="s">
        <v>640</v>
      </c>
      <c r="D17" t="s">
        <v>262</v>
      </c>
      <c r="E17" t="s">
        <v>733</v>
      </c>
      <c r="F17">
        <v>2023</v>
      </c>
      <c r="G17">
        <v>2</v>
      </c>
      <c r="H17" t="s">
        <v>237</v>
      </c>
    </row>
    <row r="18" spans="1:8" x14ac:dyDescent="0.2">
      <c r="A18" t="str">
        <f t="shared" si="0"/>
        <v>1_IEEE_17</v>
      </c>
      <c r="B18" t="s">
        <v>90</v>
      </c>
      <c r="C18" t="s">
        <v>642</v>
      </c>
      <c r="D18" t="s">
        <v>264</v>
      </c>
      <c r="E18" t="s">
        <v>218</v>
      </c>
      <c r="F18">
        <v>2022</v>
      </c>
      <c r="G18">
        <v>10</v>
      </c>
      <c r="H18" t="s">
        <v>239</v>
      </c>
    </row>
    <row r="19" spans="1:8" x14ac:dyDescent="0.2">
      <c r="A19" t="str">
        <f t="shared" si="0"/>
        <v>1_IEEE_18</v>
      </c>
      <c r="B19" t="s">
        <v>75</v>
      </c>
      <c r="C19" t="s">
        <v>643</v>
      </c>
      <c r="D19" t="s">
        <v>265</v>
      </c>
      <c r="E19" t="s">
        <v>159</v>
      </c>
      <c r="F19">
        <v>2020</v>
      </c>
      <c r="G19">
        <v>4</v>
      </c>
      <c r="H19" t="s">
        <v>240</v>
      </c>
    </row>
    <row r="20" spans="1:8" x14ac:dyDescent="0.2">
      <c r="A20" t="str">
        <f t="shared" si="0"/>
        <v>1_IEEE_19</v>
      </c>
      <c r="B20" t="s">
        <v>74</v>
      </c>
      <c r="C20" t="s">
        <v>634</v>
      </c>
      <c r="D20" t="s">
        <v>257</v>
      </c>
      <c r="E20" t="s">
        <v>214</v>
      </c>
      <c r="F20">
        <v>2021</v>
      </c>
      <c r="G20">
        <v>4</v>
      </c>
      <c r="H20" t="s">
        <v>230</v>
      </c>
    </row>
    <row r="21" spans="1:8" x14ac:dyDescent="0.2">
      <c r="A21" t="str">
        <f t="shared" si="0"/>
        <v>1_IEEE_20</v>
      </c>
      <c r="B21" t="s">
        <v>94</v>
      </c>
      <c r="C21" t="s">
        <v>648</v>
      </c>
      <c r="D21" t="s">
        <v>269</v>
      </c>
      <c r="E21" t="s">
        <v>176</v>
      </c>
      <c r="F21">
        <v>2022</v>
      </c>
      <c r="G21">
        <v>7</v>
      </c>
      <c r="H21" t="s">
        <v>245</v>
      </c>
    </row>
    <row r="22" spans="1:8" x14ac:dyDescent="0.2">
      <c r="A22" t="str">
        <f t="shared" si="0"/>
        <v>1_IEEE_21</v>
      </c>
      <c r="B22" t="s">
        <v>85</v>
      </c>
      <c r="C22" t="s">
        <v>636</v>
      </c>
      <c r="D22" t="s">
        <v>104</v>
      </c>
      <c r="E22" t="s">
        <v>216</v>
      </c>
      <c r="F22">
        <v>2021</v>
      </c>
      <c r="G22">
        <v>3</v>
      </c>
      <c r="H22" t="s">
        <v>232</v>
      </c>
    </row>
    <row r="23" spans="1:8" x14ac:dyDescent="0.2">
      <c r="A23" t="str">
        <f t="shared" si="0"/>
        <v>1_IEEE_22</v>
      </c>
      <c r="B23" t="s">
        <v>64</v>
      </c>
      <c r="C23" t="s">
        <v>637</v>
      </c>
      <c r="D23" t="s">
        <v>259</v>
      </c>
      <c r="E23" t="s">
        <v>217</v>
      </c>
      <c r="F23">
        <v>2021</v>
      </c>
      <c r="G23">
        <v>13</v>
      </c>
      <c r="H23" t="s">
        <v>234</v>
      </c>
    </row>
    <row r="24" spans="1:8" x14ac:dyDescent="0.2">
      <c r="A24" t="str">
        <f t="shared" si="0"/>
        <v>1_IEEE_23</v>
      </c>
      <c r="B24" t="s">
        <v>52</v>
      </c>
      <c r="C24" t="s">
        <v>639</v>
      </c>
      <c r="D24" t="s">
        <v>261</v>
      </c>
      <c r="E24" t="s">
        <v>139</v>
      </c>
      <c r="F24">
        <v>2024</v>
      </c>
      <c r="H24" t="s">
        <v>236</v>
      </c>
    </row>
    <row r="25" spans="1:8" x14ac:dyDescent="0.2">
      <c r="A25" t="str">
        <f t="shared" si="0"/>
        <v>1_IEEE_24</v>
      </c>
      <c r="B25" t="s">
        <v>210</v>
      </c>
      <c r="C25" t="s">
        <v>650</v>
      </c>
      <c r="D25" t="s">
        <v>271</v>
      </c>
      <c r="E25" t="s">
        <v>219</v>
      </c>
      <c r="F25">
        <v>2024</v>
      </c>
      <c r="H25" t="s">
        <v>247</v>
      </c>
    </row>
    <row r="26" spans="1:8" x14ac:dyDescent="0.2">
      <c r="A26" t="str">
        <f t="shared" si="0"/>
        <v>1_IEEE_25</v>
      </c>
      <c r="B26" t="s">
        <v>92</v>
      </c>
      <c r="C26" t="s">
        <v>645</v>
      </c>
      <c r="D26" t="s">
        <v>266</v>
      </c>
      <c r="E26" t="s">
        <v>174</v>
      </c>
      <c r="F26">
        <v>2022</v>
      </c>
      <c r="G26">
        <v>7</v>
      </c>
      <c r="H26" t="s">
        <v>242</v>
      </c>
    </row>
    <row r="27" spans="1:8" x14ac:dyDescent="0.2">
      <c r="A27" t="str">
        <f t="shared" si="0"/>
        <v>1_IEEE_26</v>
      </c>
      <c r="B27" t="s">
        <v>95</v>
      </c>
      <c r="C27" t="s">
        <v>647</v>
      </c>
      <c r="D27" t="s">
        <v>268</v>
      </c>
      <c r="E27" t="s">
        <v>177</v>
      </c>
      <c r="F27">
        <v>2021</v>
      </c>
      <c r="G27">
        <v>17</v>
      </c>
      <c r="H27" t="s">
        <v>244</v>
      </c>
    </row>
    <row r="28" spans="1:8" x14ac:dyDescent="0.2">
      <c r="A28" t="str">
        <f t="shared" si="0"/>
        <v>1_IEEE_27</v>
      </c>
      <c r="B28" t="s">
        <v>80</v>
      </c>
      <c r="C28" t="s">
        <v>649</v>
      </c>
      <c r="D28" t="s">
        <v>270</v>
      </c>
      <c r="E28" t="s">
        <v>164</v>
      </c>
      <c r="F28">
        <v>2021</v>
      </c>
      <c r="G28">
        <v>4</v>
      </c>
      <c r="H28" t="s">
        <v>246</v>
      </c>
    </row>
    <row r="29" spans="1:8" x14ac:dyDescent="0.2">
      <c r="A29" t="str">
        <f t="shared" si="0"/>
        <v>1_IEEE_28</v>
      </c>
      <c r="B29" t="s">
        <v>211</v>
      </c>
      <c r="C29" t="s">
        <v>651</v>
      </c>
      <c r="D29" t="s">
        <v>104</v>
      </c>
      <c r="E29" t="s">
        <v>220</v>
      </c>
      <c r="F29">
        <v>2024</v>
      </c>
      <c r="H29" t="s">
        <v>248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CE87-53D1-4D8E-8054-2A13E5189CE7}">
  <dimension ref="A1:H94"/>
  <sheetViews>
    <sheetView topLeftCell="A42" workbookViewId="0">
      <selection activeCell="B42" sqref="A42:H42"/>
    </sheetView>
  </sheetViews>
  <sheetFormatPr baseColWidth="10" defaultColWidth="8.83203125" defaultRowHeight="15" x14ac:dyDescent="0.2"/>
  <cols>
    <col min="1" max="1" width="14" customWidth="1"/>
    <col min="2" max="2" width="75.83203125" customWidth="1"/>
    <col min="3" max="3" width="25.6640625" customWidth="1"/>
    <col min="4" max="4" width="25.83203125" customWidth="1"/>
    <col min="5" max="5" width="75" customWidth="1"/>
    <col min="6" max="6" width="23.83203125" customWidth="1"/>
    <col min="7" max="7" width="19.83203125" customWidth="1"/>
    <col min="8" max="8" width="47.33203125" customWidth="1"/>
  </cols>
  <sheetData>
    <row r="1" spans="1:8" x14ac:dyDescent="0.2">
      <c r="A1" s="9" t="s">
        <v>184</v>
      </c>
      <c r="B1" s="10" t="s">
        <v>50</v>
      </c>
      <c r="C1" s="10" t="s">
        <v>8</v>
      </c>
      <c r="D1" s="10" t="s">
        <v>101</v>
      </c>
      <c r="E1" s="10" t="s">
        <v>137</v>
      </c>
      <c r="F1" s="11" t="s">
        <v>181</v>
      </c>
      <c r="G1" s="11" t="s">
        <v>183</v>
      </c>
      <c r="H1" s="12" t="s">
        <v>272</v>
      </c>
    </row>
    <row r="2" spans="1:8" x14ac:dyDescent="0.2">
      <c r="A2" t="str">
        <f t="shared" ref="A2:A33" si="0">"1_Scopus_" &amp; ROW()-1</f>
        <v>1_Scopus_1</v>
      </c>
      <c r="B2" t="s">
        <v>100</v>
      </c>
      <c r="C2" t="s">
        <v>667</v>
      </c>
      <c r="D2" t="s">
        <v>499</v>
      </c>
      <c r="E2" t="s">
        <v>736</v>
      </c>
      <c r="F2">
        <v>2023</v>
      </c>
      <c r="G2">
        <v>0</v>
      </c>
      <c r="H2" t="s">
        <v>334</v>
      </c>
    </row>
    <row r="3" spans="1:8" x14ac:dyDescent="0.2">
      <c r="A3" t="str">
        <f t="shared" si="0"/>
        <v>1_Scopus_2</v>
      </c>
      <c r="B3" t="s">
        <v>297</v>
      </c>
      <c r="C3" t="s">
        <v>700</v>
      </c>
      <c r="D3" t="s">
        <v>524</v>
      </c>
      <c r="E3" t="s">
        <v>459</v>
      </c>
      <c r="F3">
        <v>2022</v>
      </c>
      <c r="G3">
        <v>21</v>
      </c>
      <c r="H3" t="s">
        <v>373</v>
      </c>
    </row>
    <row r="4" spans="1:8" x14ac:dyDescent="0.2">
      <c r="A4" t="str">
        <f t="shared" si="0"/>
        <v>1_Scopus_3</v>
      </c>
      <c r="B4" t="s">
        <v>311</v>
      </c>
      <c r="C4" t="s">
        <v>104</v>
      </c>
      <c r="D4" t="s">
        <v>104</v>
      </c>
      <c r="E4" t="s">
        <v>481</v>
      </c>
      <c r="F4">
        <v>2020</v>
      </c>
      <c r="G4">
        <v>0</v>
      </c>
      <c r="H4" t="s">
        <v>400</v>
      </c>
    </row>
    <row r="5" spans="1:8" x14ac:dyDescent="0.2">
      <c r="A5" t="str">
        <f t="shared" si="0"/>
        <v>1_Scopus_4</v>
      </c>
      <c r="B5" t="s">
        <v>56</v>
      </c>
      <c r="C5" t="s">
        <v>671</v>
      </c>
      <c r="D5" t="s">
        <v>503</v>
      </c>
      <c r="E5" t="s">
        <v>428</v>
      </c>
      <c r="F5">
        <v>2023</v>
      </c>
      <c r="G5">
        <v>0</v>
      </c>
      <c r="H5" t="s">
        <v>338</v>
      </c>
    </row>
    <row r="6" spans="1:8" x14ac:dyDescent="0.2">
      <c r="A6" t="str">
        <f t="shared" si="0"/>
        <v>1_Scopus_5</v>
      </c>
      <c r="B6" t="s">
        <v>301</v>
      </c>
      <c r="C6" t="s">
        <v>708</v>
      </c>
      <c r="D6" t="s">
        <v>532</v>
      </c>
      <c r="E6" t="s">
        <v>466</v>
      </c>
      <c r="F6">
        <v>2021</v>
      </c>
      <c r="G6">
        <v>9</v>
      </c>
      <c r="H6" t="s">
        <v>382</v>
      </c>
    </row>
    <row r="7" spans="1:8" x14ac:dyDescent="0.2">
      <c r="A7" t="str">
        <f t="shared" si="0"/>
        <v>1_Scopus_6</v>
      </c>
      <c r="B7" t="s">
        <v>63</v>
      </c>
      <c r="C7" t="s">
        <v>717</v>
      </c>
      <c r="D7" t="s">
        <v>543</v>
      </c>
      <c r="E7" t="s">
        <v>477</v>
      </c>
      <c r="F7">
        <v>2020</v>
      </c>
      <c r="G7">
        <v>19</v>
      </c>
      <c r="H7" t="s">
        <v>396</v>
      </c>
    </row>
    <row r="8" spans="1:8" x14ac:dyDescent="0.2">
      <c r="A8" t="str">
        <f t="shared" si="0"/>
        <v>1_Scopus_7</v>
      </c>
      <c r="B8" t="s">
        <v>52</v>
      </c>
      <c r="C8" t="s">
        <v>660</v>
      </c>
      <c r="D8" t="s">
        <v>495</v>
      </c>
      <c r="E8" t="s">
        <v>417</v>
      </c>
      <c r="F8">
        <v>2024</v>
      </c>
      <c r="G8">
        <v>0</v>
      </c>
      <c r="H8" t="s">
        <v>326</v>
      </c>
    </row>
    <row r="9" spans="1:8" x14ac:dyDescent="0.2">
      <c r="A9" t="str">
        <f t="shared" si="0"/>
        <v>1_Scopus_8</v>
      </c>
      <c r="B9" t="s">
        <v>62</v>
      </c>
      <c r="C9" t="s">
        <v>701</v>
      </c>
      <c r="D9" t="s">
        <v>525</v>
      </c>
      <c r="E9" t="s">
        <v>460</v>
      </c>
      <c r="F9">
        <v>2022</v>
      </c>
      <c r="G9">
        <v>0</v>
      </c>
      <c r="H9" t="s">
        <v>374</v>
      </c>
    </row>
    <row r="10" spans="1:8" x14ac:dyDescent="0.2">
      <c r="A10" t="str">
        <f t="shared" si="0"/>
        <v>1_Scopus_9</v>
      </c>
      <c r="B10" t="s">
        <v>66</v>
      </c>
      <c r="C10" t="s">
        <v>713</v>
      </c>
      <c r="D10" t="s">
        <v>538</v>
      </c>
      <c r="E10" t="s">
        <v>472</v>
      </c>
      <c r="F10">
        <v>2021</v>
      </c>
      <c r="G10">
        <v>4</v>
      </c>
      <c r="H10" t="s">
        <v>390</v>
      </c>
    </row>
    <row r="11" spans="1:8" x14ac:dyDescent="0.2">
      <c r="A11" t="str">
        <f t="shared" si="0"/>
        <v>1_Scopus_10</v>
      </c>
      <c r="B11" t="s">
        <v>284</v>
      </c>
      <c r="C11" t="s">
        <v>104</v>
      </c>
      <c r="D11" t="s">
        <v>104</v>
      </c>
      <c r="E11" t="s">
        <v>436</v>
      </c>
      <c r="F11">
        <v>2023</v>
      </c>
      <c r="G11">
        <v>0</v>
      </c>
      <c r="H11" t="s">
        <v>346</v>
      </c>
    </row>
    <row r="12" spans="1:8" x14ac:dyDescent="0.2">
      <c r="A12" t="str">
        <f t="shared" si="0"/>
        <v>1_Scopus_11</v>
      </c>
      <c r="B12" t="s">
        <v>84</v>
      </c>
      <c r="C12" t="s">
        <v>683</v>
      </c>
      <c r="D12" t="s">
        <v>511</v>
      </c>
      <c r="E12" t="s">
        <v>737</v>
      </c>
      <c r="F12">
        <v>2023</v>
      </c>
      <c r="G12">
        <v>3</v>
      </c>
      <c r="H12" t="s">
        <v>353</v>
      </c>
    </row>
    <row r="13" spans="1:8" x14ac:dyDescent="0.2">
      <c r="A13" t="str">
        <f t="shared" si="0"/>
        <v>1_Scopus_12</v>
      </c>
      <c r="B13" t="s">
        <v>77</v>
      </c>
      <c r="C13" t="s">
        <v>704</v>
      </c>
      <c r="D13" t="s">
        <v>528</v>
      </c>
      <c r="E13" t="s">
        <v>462</v>
      </c>
      <c r="F13">
        <v>2022</v>
      </c>
      <c r="G13">
        <v>4</v>
      </c>
      <c r="H13" t="s">
        <v>378</v>
      </c>
    </row>
    <row r="14" spans="1:8" x14ac:dyDescent="0.2">
      <c r="A14" t="str">
        <f t="shared" si="0"/>
        <v>1_Scopus_13</v>
      </c>
      <c r="B14" t="s">
        <v>209</v>
      </c>
      <c r="C14" t="s">
        <v>714</v>
      </c>
      <c r="D14" t="s">
        <v>539</v>
      </c>
      <c r="E14" t="s">
        <v>473</v>
      </c>
      <c r="F14">
        <v>2021</v>
      </c>
      <c r="G14">
        <v>5</v>
      </c>
      <c r="H14" t="s">
        <v>391</v>
      </c>
    </row>
    <row r="15" spans="1:8" x14ac:dyDescent="0.2">
      <c r="A15" t="str">
        <f t="shared" si="0"/>
        <v>1_Scopus_14</v>
      </c>
      <c r="B15" t="s">
        <v>312</v>
      </c>
      <c r="C15" t="s">
        <v>104</v>
      </c>
      <c r="D15" t="s">
        <v>104</v>
      </c>
      <c r="E15" t="s">
        <v>482</v>
      </c>
      <c r="F15">
        <v>2020</v>
      </c>
      <c r="G15">
        <v>0</v>
      </c>
      <c r="H15" t="s">
        <v>401</v>
      </c>
    </row>
    <row r="16" spans="1:8" x14ac:dyDescent="0.2">
      <c r="A16" t="str">
        <f t="shared" si="0"/>
        <v>1_Scopus_15</v>
      </c>
      <c r="B16" t="s">
        <v>89</v>
      </c>
      <c r="C16" t="s">
        <v>721</v>
      </c>
      <c r="D16" t="s">
        <v>546</v>
      </c>
      <c r="E16" t="s">
        <v>483</v>
      </c>
      <c r="F16">
        <v>2020</v>
      </c>
      <c r="G16">
        <v>12</v>
      </c>
      <c r="H16" t="s">
        <v>402</v>
      </c>
    </row>
    <row r="17" spans="1:8" x14ac:dyDescent="0.2">
      <c r="A17" t="str">
        <f t="shared" si="0"/>
        <v>1_Scopus_16</v>
      </c>
      <c r="B17" t="s">
        <v>295</v>
      </c>
      <c r="C17" t="s">
        <v>698</v>
      </c>
      <c r="D17" t="s">
        <v>522</v>
      </c>
      <c r="E17" t="s">
        <v>457</v>
      </c>
      <c r="F17">
        <v>2022</v>
      </c>
      <c r="G17">
        <v>3</v>
      </c>
      <c r="H17" t="s">
        <v>370</v>
      </c>
    </row>
    <row r="18" spans="1:8" x14ac:dyDescent="0.2">
      <c r="A18" t="str">
        <f t="shared" si="0"/>
        <v>1_Scopus_17</v>
      </c>
      <c r="B18" t="s">
        <v>313</v>
      </c>
      <c r="C18" t="s">
        <v>722</v>
      </c>
      <c r="D18" t="s">
        <v>104</v>
      </c>
      <c r="E18" t="s">
        <v>484</v>
      </c>
      <c r="F18">
        <v>2020</v>
      </c>
      <c r="G18">
        <v>8</v>
      </c>
      <c r="H18" t="s">
        <v>403</v>
      </c>
    </row>
    <row r="19" spans="1:8" x14ac:dyDescent="0.2">
      <c r="A19" t="str">
        <f t="shared" si="0"/>
        <v>1_Scopus_18</v>
      </c>
      <c r="B19" t="s">
        <v>51</v>
      </c>
      <c r="C19" t="s">
        <v>657</v>
      </c>
      <c r="D19" t="s">
        <v>492</v>
      </c>
      <c r="E19" t="s">
        <v>415</v>
      </c>
      <c r="F19">
        <v>2024</v>
      </c>
      <c r="G19">
        <v>0</v>
      </c>
      <c r="H19" t="s">
        <v>323</v>
      </c>
    </row>
    <row r="20" spans="1:8" x14ac:dyDescent="0.2">
      <c r="A20" t="str">
        <f t="shared" si="0"/>
        <v>1_Scopus_19</v>
      </c>
      <c r="B20" t="s">
        <v>87</v>
      </c>
      <c r="C20" t="s">
        <v>692</v>
      </c>
      <c r="D20" t="s">
        <v>104</v>
      </c>
      <c r="E20" t="s">
        <v>451</v>
      </c>
      <c r="F20">
        <v>2022</v>
      </c>
      <c r="G20">
        <v>0</v>
      </c>
      <c r="H20" t="s">
        <v>363</v>
      </c>
    </row>
    <row r="21" spans="1:8" x14ac:dyDescent="0.2">
      <c r="A21" t="str">
        <f t="shared" si="0"/>
        <v>1_Scopus_20</v>
      </c>
      <c r="B21" t="s">
        <v>305</v>
      </c>
      <c r="C21" t="s">
        <v>715</v>
      </c>
      <c r="D21" t="s">
        <v>540</v>
      </c>
      <c r="E21" t="s">
        <v>474</v>
      </c>
      <c r="F21">
        <v>2021</v>
      </c>
      <c r="G21">
        <v>18</v>
      </c>
      <c r="H21" t="s">
        <v>392</v>
      </c>
    </row>
    <row r="22" spans="1:8" x14ac:dyDescent="0.2">
      <c r="A22" t="str">
        <f t="shared" si="0"/>
        <v>1_Scopus_21</v>
      </c>
      <c r="B22" t="s">
        <v>53</v>
      </c>
      <c r="C22" t="s">
        <v>713</v>
      </c>
      <c r="D22" t="s">
        <v>541</v>
      </c>
      <c r="E22" t="s">
        <v>475</v>
      </c>
      <c r="F22">
        <v>2020</v>
      </c>
      <c r="G22">
        <v>1</v>
      </c>
      <c r="H22" t="s">
        <v>393</v>
      </c>
    </row>
    <row r="23" spans="1:8" x14ac:dyDescent="0.2">
      <c r="A23" t="str">
        <f t="shared" si="0"/>
        <v>1_Scopus_22</v>
      </c>
      <c r="B23" t="s">
        <v>72</v>
      </c>
      <c r="C23" t="s">
        <v>678</v>
      </c>
      <c r="D23" t="s">
        <v>507</v>
      </c>
      <c r="E23" t="s">
        <v>437</v>
      </c>
      <c r="F23">
        <v>2023</v>
      </c>
      <c r="G23">
        <v>2</v>
      </c>
      <c r="H23" t="s">
        <v>347</v>
      </c>
    </row>
    <row r="24" spans="1:8" x14ac:dyDescent="0.2">
      <c r="A24" t="str">
        <f t="shared" si="0"/>
        <v>1_Scopus_23</v>
      </c>
      <c r="B24" t="s">
        <v>308</v>
      </c>
      <c r="C24" t="s">
        <v>718</v>
      </c>
      <c r="D24" t="s">
        <v>544</v>
      </c>
      <c r="E24" t="s">
        <v>478</v>
      </c>
      <c r="F24">
        <v>2021</v>
      </c>
      <c r="G24">
        <v>21</v>
      </c>
      <c r="H24" t="s">
        <v>397</v>
      </c>
    </row>
    <row r="25" spans="1:8" x14ac:dyDescent="0.2">
      <c r="A25" t="str">
        <f t="shared" si="0"/>
        <v>1_Scopus_24</v>
      </c>
      <c r="B25" t="s">
        <v>97</v>
      </c>
      <c r="C25" t="s">
        <v>652</v>
      </c>
      <c r="D25" t="s">
        <v>104</v>
      </c>
      <c r="E25" t="s">
        <v>734</v>
      </c>
      <c r="F25">
        <v>2024</v>
      </c>
      <c r="G25">
        <v>0</v>
      </c>
      <c r="H25" t="s">
        <v>318</v>
      </c>
    </row>
    <row r="26" spans="1:8" x14ac:dyDescent="0.2">
      <c r="A26" t="str">
        <f t="shared" si="0"/>
        <v>1_Scopus_25</v>
      </c>
      <c r="B26" t="s">
        <v>290</v>
      </c>
      <c r="C26" t="s">
        <v>688</v>
      </c>
      <c r="D26" t="s">
        <v>515</v>
      </c>
      <c r="E26" t="s">
        <v>448</v>
      </c>
      <c r="F26">
        <v>2022</v>
      </c>
      <c r="G26">
        <v>0</v>
      </c>
      <c r="H26" t="s">
        <v>359</v>
      </c>
    </row>
    <row r="27" spans="1:8" x14ac:dyDescent="0.2">
      <c r="A27" t="str">
        <f t="shared" si="0"/>
        <v>1_Scopus_26</v>
      </c>
      <c r="B27" t="s">
        <v>279</v>
      </c>
      <c r="C27" t="s">
        <v>668</v>
      </c>
      <c r="D27" t="s">
        <v>500</v>
      </c>
      <c r="E27" t="s">
        <v>425</v>
      </c>
      <c r="F27">
        <v>2023</v>
      </c>
      <c r="G27">
        <v>63</v>
      </c>
      <c r="H27" t="s">
        <v>335</v>
      </c>
    </row>
    <row r="28" spans="1:8" x14ac:dyDescent="0.2">
      <c r="A28" t="str">
        <f t="shared" si="0"/>
        <v>1_Scopus_27</v>
      </c>
      <c r="B28" t="s">
        <v>61</v>
      </c>
      <c r="C28" t="s">
        <v>680</v>
      </c>
      <c r="D28" t="s">
        <v>509</v>
      </c>
      <c r="E28" t="s">
        <v>439</v>
      </c>
      <c r="F28">
        <v>2022</v>
      </c>
      <c r="G28">
        <v>1</v>
      </c>
      <c r="H28" t="s">
        <v>349</v>
      </c>
    </row>
    <row r="29" spans="1:8" x14ac:dyDescent="0.2">
      <c r="A29" t="str">
        <f t="shared" si="0"/>
        <v>1_Scopus_28</v>
      </c>
      <c r="B29" t="s">
        <v>99</v>
      </c>
      <c r="C29" t="s">
        <v>672</v>
      </c>
      <c r="D29" t="s">
        <v>504</v>
      </c>
      <c r="E29" t="s">
        <v>429</v>
      </c>
      <c r="F29">
        <v>2023</v>
      </c>
      <c r="G29">
        <v>4</v>
      </c>
      <c r="H29" t="s">
        <v>339</v>
      </c>
    </row>
    <row r="30" spans="1:8" x14ac:dyDescent="0.2">
      <c r="A30" t="str">
        <f t="shared" si="0"/>
        <v>1_Scopus_29</v>
      </c>
      <c r="B30" t="s">
        <v>314</v>
      </c>
      <c r="C30" t="s">
        <v>723</v>
      </c>
      <c r="D30" t="s">
        <v>547</v>
      </c>
      <c r="E30" t="s">
        <v>485</v>
      </c>
      <c r="F30">
        <v>2020</v>
      </c>
      <c r="G30">
        <v>2</v>
      </c>
      <c r="H30" t="s">
        <v>404</v>
      </c>
    </row>
    <row r="31" spans="1:8" x14ac:dyDescent="0.2">
      <c r="A31" t="str">
        <f t="shared" si="0"/>
        <v>1_Scopus_30</v>
      </c>
      <c r="B31" t="s">
        <v>98</v>
      </c>
      <c r="C31" t="s">
        <v>662</v>
      </c>
      <c r="D31" t="s">
        <v>135</v>
      </c>
      <c r="E31" t="s">
        <v>420</v>
      </c>
      <c r="F31">
        <v>2024</v>
      </c>
      <c r="G31">
        <v>0</v>
      </c>
      <c r="H31" t="s">
        <v>329</v>
      </c>
    </row>
    <row r="32" spans="1:8" x14ac:dyDescent="0.2">
      <c r="A32" t="str">
        <f t="shared" si="0"/>
        <v>1_Scopus_31</v>
      </c>
      <c r="B32" t="s">
        <v>67</v>
      </c>
      <c r="C32" t="s">
        <v>693</v>
      </c>
      <c r="D32" t="s">
        <v>519</v>
      </c>
      <c r="E32" t="s">
        <v>452</v>
      </c>
      <c r="F32">
        <v>2022</v>
      </c>
      <c r="G32">
        <v>6</v>
      </c>
      <c r="H32" t="s">
        <v>364</v>
      </c>
    </row>
    <row r="33" spans="1:8" x14ac:dyDescent="0.2">
      <c r="A33" t="str">
        <f t="shared" si="0"/>
        <v>1_Scopus_32</v>
      </c>
      <c r="B33" t="s">
        <v>310</v>
      </c>
      <c r="C33" t="s">
        <v>720</v>
      </c>
      <c r="D33" t="s">
        <v>104</v>
      </c>
      <c r="E33" t="s">
        <v>480</v>
      </c>
      <c r="F33">
        <v>2020</v>
      </c>
      <c r="G33">
        <v>16</v>
      </c>
      <c r="H33" t="s">
        <v>399</v>
      </c>
    </row>
    <row r="34" spans="1:8" x14ac:dyDescent="0.2">
      <c r="A34" t="str">
        <f t="shared" ref="A34:A65" si="1">"1_Scopus_" &amp; ROW()-1</f>
        <v>1_Scopus_33</v>
      </c>
      <c r="B34" t="s">
        <v>82</v>
      </c>
      <c r="C34" t="s">
        <v>669</v>
      </c>
      <c r="D34" t="s">
        <v>501</v>
      </c>
      <c r="E34" t="s">
        <v>426</v>
      </c>
      <c r="F34">
        <v>2024</v>
      </c>
      <c r="G34">
        <v>0</v>
      </c>
      <c r="H34" t="s">
        <v>336</v>
      </c>
    </row>
    <row r="35" spans="1:8" x14ac:dyDescent="0.2">
      <c r="A35" t="str">
        <f t="shared" si="1"/>
        <v>1_Scopus_34</v>
      </c>
      <c r="B35" t="s">
        <v>302</v>
      </c>
      <c r="C35" t="s">
        <v>709</v>
      </c>
      <c r="D35" t="s">
        <v>533</v>
      </c>
      <c r="E35" t="s">
        <v>467</v>
      </c>
      <c r="F35">
        <v>2021</v>
      </c>
      <c r="G35">
        <v>21</v>
      </c>
      <c r="H35" t="s">
        <v>383</v>
      </c>
    </row>
    <row r="36" spans="1:8" x14ac:dyDescent="0.2">
      <c r="A36" t="str">
        <f t="shared" si="1"/>
        <v>1_Scopus_35</v>
      </c>
      <c r="B36" t="s">
        <v>291</v>
      </c>
      <c r="C36" t="s">
        <v>689</v>
      </c>
      <c r="D36" t="s">
        <v>516</v>
      </c>
      <c r="E36" t="s">
        <v>739</v>
      </c>
      <c r="F36">
        <v>2022</v>
      </c>
      <c r="G36">
        <v>1</v>
      </c>
      <c r="H36" t="s">
        <v>360</v>
      </c>
    </row>
    <row r="37" spans="1:8" x14ac:dyDescent="0.2">
      <c r="A37" t="str">
        <f t="shared" si="1"/>
        <v>1_Scopus_36</v>
      </c>
      <c r="B37" t="s">
        <v>81</v>
      </c>
      <c r="C37" t="s">
        <v>675</v>
      </c>
      <c r="D37" t="s">
        <v>104</v>
      </c>
      <c r="E37" t="s">
        <v>433</v>
      </c>
      <c r="F37">
        <v>2023</v>
      </c>
      <c r="G37">
        <v>0</v>
      </c>
      <c r="H37" t="s">
        <v>343</v>
      </c>
    </row>
    <row r="38" spans="1:8" x14ac:dyDescent="0.2">
      <c r="A38" t="str">
        <f t="shared" si="1"/>
        <v>1_Scopus_37</v>
      </c>
      <c r="B38" t="s">
        <v>285</v>
      </c>
      <c r="C38" t="s">
        <v>104</v>
      </c>
      <c r="D38" t="s">
        <v>104</v>
      </c>
      <c r="E38" t="s">
        <v>440</v>
      </c>
      <c r="F38">
        <v>2023</v>
      </c>
      <c r="G38">
        <v>0</v>
      </c>
      <c r="H38" t="s">
        <v>350</v>
      </c>
    </row>
    <row r="39" spans="1:8" x14ac:dyDescent="0.2">
      <c r="A39" t="str">
        <f t="shared" si="1"/>
        <v>1_Scopus_38</v>
      </c>
      <c r="B39" t="s">
        <v>303</v>
      </c>
      <c r="C39" t="s">
        <v>104</v>
      </c>
      <c r="D39" t="s">
        <v>104</v>
      </c>
      <c r="E39" t="s">
        <v>742</v>
      </c>
      <c r="F39">
        <v>2021</v>
      </c>
      <c r="G39">
        <v>0</v>
      </c>
      <c r="H39" t="s">
        <v>386</v>
      </c>
    </row>
    <row r="40" spans="1:8" x14ac:dyDescent="0.2">
      <c r="A40" t="str">
        <f t="shared" si="1"/>
        <v>1_Scopus_39</v>
      </c>
      <c r="B40" t="s">
        <v>208</v>
      </c>
      <c r="C40" t="s">
        <v>708</v>
      </c>
      <c r="D40" t="s">
        <v>536</v>
      </c>
      <c r="E40" t="s">
        <v>470</v>
      </c>
      <c r="F40">
        <v>2021</v>
      </c>
      <c r="G40">
        <v>4</v>
      </c>
      <c r="H40" t="s">
        <v>387</v>
      </c>
    </row>
    <row r="41" spans="1:8" x14ac:dyDescent="0.2">
      <c r="A41" t="str">
        <f t="shared" si="1"/>
        <v>1_Scopus_40</v>
      </c>
      <c r="B41" t="s">
        <v>306</v>
      </c>
      <c r="C41" t="s">
        <v>716</v>
      </c>
      <c r="D41" t="s">
        <v>542</v>
      </c>
      <c r="E41" t="s">
        <v>476</v>
      </c>
      <c r="F41">
        <v>2020</v>
      </c>
      <c r="G41">
        <v>10</v>
      </c>
      <c r="H41" t="s">
        <v>394</v>
      </c>
    </row>
    <row r="42" spans="1:8" x14ac:dyDescent="0.2">
      <c r="A42" t="str">
        <f t="shared" si="1"/>
        <v>1_Scopus_41</v>
      </c>
      <c r="B42" t="s">
        <v>292</v>
      </c>
      <c r="C42" t="s">
        <v>690</v>
      </c>
      <c r="D42" t="s">
        <v>517</v>
      </c>
      <c r="E42" t="s">
        <v>449</v>
      </c>
      <c r="F42">
        <v>2022</v>
      </c>
      <c r="G42">
        <v>1</v>
      </c>
      <c r="H42" t="s">
        <v>361</v>
      </c>
    </row>
    <row r="43" spans="1:8" x14ac:dyDescent="0.2">
      <c r="A43" t="str">
        <f t="shared" si="1"/>
        <v>1_Scopus_42</v>
      </c>
      <c r="B43" t="s">
        <v>286</v>
      </c>
      <c r="C43" t="s">
        <v>681</v>
      </c>
      <c r="D43" t="s">
        <v>510</v>
      </c>
      <c r="E43" t="s">
        <v>441</v>
      </c>
      <c r="F43">
        <v>2023</v>
      </c>
      <c r="G43">
        <v>1</v>
      </c>
      <c r="H43" t="s">
        <v>351</v>
      </c>
    </row>
    <row r="44" spans="1:8" x14ac:dyDescent="0.2">
      <c r="A44" t="str">
        <f t="shared" si="1"/>
        <v>1_Scopus_43</v>
      </c>
      <c r="B44" t="s">
        <v>92</v>
      </c>
      <c r="C44" t="s">
        <v>699</v>
      </c>
      <c r="D44" t="s">
        <v>523</v>
      </c>
      <c r="E44" t="s">
        <v>458</v>
      </c>
      <c r="F44">
        <v>2022</v>
      </c>
      <c r="G44">
        <v>4</v>
      </c>
      <c r="H44" t="s">
        <v>371</v>
      </c>
    </row>
    <row r="45" spans="1:8" x14ac:dyDescent="0.2">
      <c r="A45" t="str">
        <f t="shared" si="1"/>
        <v>1_Scopus_44</v>
      </c>
      <c r="B45" t="s">
        <v>296</v>
      </c>
      <c r="C45" t="s">
        <v>104</v>
      </c>
      <c r="D45" t="s">
        <v>104</v>
      </c>
      <c r="E45" t="s">
        <v>741</v>
      </c>
      <c r="F45">
        <v>2022</v>
      </c>
      <c r="G45">
        <v>0</v>
      </c>
      <c r="H45" t="s">
        <v>372</v>
      </c>
    </row>
    <row r="46" spans="1:8" x14ac:dyDescent="0.2">
      <c r="A46" t="str">
        <f t="shared" si="1"/>
        <v>1_Scopus_45</v>
      </c>
      <c r="B46" t="s">
        <v>94</v>
      </c>
      <c r="C46" t="s">
        <v>696</v>
      </c>
      <c r="D46" t="s">
        <v>521</v>
      </c>
      <c r="E46" t="s">
        <v>455</v>
      </c>
      <c r="F46">
        <v>2022</v>
      </c>
      <c r="G46">
        <v>6</v>
      </c>
      <c r="H46" t="s">
        <v>368</v>
      </c>
    </row>
    <row r="47" spans="1:8" x14ac:dyDescent="0.2">
      <c r="A47" t="str">
        <f t="shared" si="1"/>
        <v>1_Scopus_46</v>
      </c>
      <c r="B47" t="s">
        <v>211</v>
      </c>
      <c r="C47" t="s">
        <v>663</v>
      </c>
      <c r="D47" t="s">
        <v>104</v>
      </c>
      <c r="E47" t="s">
        <v>421</v>
      </c>
      <c r="F47">
        <v>2024</v>
      </c>
      <c r="G47">
        <v>0</v>
      </c>
      <c r="H47" t="s">
        <v>330</v>
      </c>
    </row>
    <row r="48" spans="1:8" x14ac:dyDescent="0.2">
      <c r="A48" t="str">
        <f t="shared" si="1"/>
        <v>1_Scopus_47</v>
      </c>
      <c r="B48" t="s">
        <v>287</v>
      </c>
      <c r="C48" t="s">
        <v>684</v>
      </c>
      <c r="D48" t="s">
        <v>104</v>
      </c>
      <c r="E48" t="s">
        <v>443</v>
      </c>
      <c r="F48">
        <v>2023</v>
      </c>
      <c r="G48">
        <v>3</v>
      </c>
      <c r="H48" t="s">
        <v>354</v>
      </c>
    </row>
    <row r="49" spans="1:8" x14ac:dyDescent="0.2">
      <c r="A49" t="str">
        <f t="shared" si="1"/>
        <v>1_Scopus_48</v>
      </c>
      <c r="B49" t="s">
        <v>283</v>
      </c>
      <c r="C49" t="s">
        <v>676</v>
      </c>
      <c r="D49" t="s">
        <v>104</v>
      </c>
      <c r="E49" t="s">
        <v>434</v>
      </c>
      <c r="F49">
        <v>2023</v>
      </c>
      <c r="G49">
        <v>0</v>
      </c>
      <c r="H49" t="s">
        <v>344</v>
      </c>
    </row>
    <row r="50" spans="1:8" x14ac:dyDescent="0.2">
      <c r="A50" t="str">
        <f t="shared" si="1"/>
        <v>1_Scopus_49</v>
      </c>
      <c r="B50" t="s">
        <v>277</v>
      </c>
      <c r="C50" t="s">
        <v>665</v>
      </c>
      <c r="D50" t="s">
        <v>497</v>
      </c>
      <c r="E50" t="s">
        <v>423</v>
      </c>
      <c r="F50">
        <v>2023</v>
      </c>
      <c r="G50">
        <v>0</v>
      </c>
      <c r="H50" t="s">
        <v>332</v>
      </c>
    </row>
    <row r="51" spans="1:8" x14ac:dyDescent="0.2">
      <c r="A51" t="str">
        <f t="shared" si="1"/>
        <v>1_Scopus_50</v>
      </c>
      <c r="B51" t="s">
        <v>96</v>
      </c>
      <c r="C51" t="s">
        <v>694</v>
      </c>
      <c r="D51" t="s">
        <v>520</v>
      </c>
      <c r="E51" t="s">
        <v>738</v>
      </c>
      <c r="F51">
        <v>2022</v>
      </c>
      <c r="G51">
        <v>1</v>
      </c>
      <c r="H51" t="s">
        <v>365</v>
      </c>
    </row>
    <row r="52" spans="1:8" x14ac:dyDescent="0.2">
      <c r="A52" t="str">
        <f t="shared" si="1"/>
        <v>1_Scopus_51</v>
      </c>
      <c r="B52" t="s">
        <v>312</v>
      </c>
      <c r="C52" t="s">
        <v>104</v>
      </c>
      <c r="D52" t="s">
        <v>104</v>
      </c>
      <c r="E52" t="s">
        <v>482</v>
      </c>
      <c r="F52">
        <v>2020</v>
      </c>
      <c r="G52">
        <v>0</v>
      </c>
      <c r="H52" t="s">
        <v>405</v>
      </c>
    </row>
    <row r="53" spans="1:8" x14ac:dyDescent="0.2">
      <c r="A53" t="str">
        <f t="shared" si="1"/>
        <v>1_Scopus_52</v>
      </c>
      <c r="B53" t="s">
        <v>282</v>
      </c>
      <c r="C53" t="s">
        <v>104</v>
      </c>
      <c r="D53" t="s">
        <v>104</v>
      </c>
      <c r="E53" t="s">
        <v>432</v>
      </c>
      <c r="F53">
        <v>2023</v>
      </c>
      <c r="G53">
        <v>0</v>
      </c>
      <c r="H53" t="s">
        <v>342</v>
      </c>
    </row>
    <row r="54" spans="1:8" x14ac:dyDescent="0.2">
      <c r="A54" t="str">
        <f t="shared" si="1"/>
        <v>1_Scopus_53</v>
      </c>
      <c r="B54" t="s">
        <v>60</v>
      </c>
      <c r="C54" t="s">
        <v>653</v>
      </c>
      <c r="D54" t="s">
        <v>110</v>
      </c>
      <c r="E54" t="s">
        <v>411</v>
      </c>
      <c r="F54">
        <v>2024</v>
      </c>
      <c r="G54">
        <v>0</v>
      </c>
      <c r="H54" t="s">
        <v>319</v>
      </c>
    </row>
    <row r="55" spans="1:8" x14ac:dyDescent="0.2">
      <c r="A55" t="str">
        <f t="shared" si="1"/>
        <v>1_Scopus_54</v>
      </c>
      <c r="B55" t="s">
        <v>206</v>
      </c>
      <c r="C55" t="s">
        <v>685</v>
      </c>
      <c r="D55" t="s">
        <v>512</v>
      </c>
      <c r="E55" t="s">
        <v>444</v>
      </c>
      <c r="F55">
        <v>2023</v>
      </c>
      <c r="G55">
        <v>0</v>
      </c>
      <c r="H55" t="s">
        <v>355</v>
      </c>
    </row>
    <row r="56" spans="1:8" x14ac:dyDescent="0.2">
      <c r="A56" t="str">
        <f t="shared" si="1"/>
        <v>1_Scopus_55</v>
      </c>
      <c r="B56" t="s">
        <v>315</v>
      </c>
      <c r="C56" t="s">
        <v>724</v>
      </c>
      <c r="D56" t="s">
        <v>104</v>
      </c>
      <c r="E56" t="s">
        <v>486</v>
      </c>
      <c r="F56">
        <v>2020</v>
      </c>
      <c r="G56">
        <v>5</v>
      </c>
      <c r="H56" t="s">
        <v>406</v>
      </c>
    </row>
    <row r="57" spans="1:8" x14ac:dyDescent="0.2">
      <c r="A57" t="str">
        <f t="shared" si="1"/>
        <v>1_Scopus_56</v>
      </c>
      <c r="B57" t="s">
        <v>316</v>
      </c>
      <c r="C57" t="s">
        <v>725</v>
      </c>
      <c r="D57" t="s">
        <v>548</v>
      </c>
      <c r="E57" t="s">
        <v>487</v>
      </c>
      <c r="F57">
        <v>2020</v>
      </c>
      <c r="G57">
        <v>4</v>
      </c>
      <c r="H57" t="s">
        <v>407</v>
      </c>
    </row>
    <row r="58" spans="1:8" x14ac:dyDescent="0.2">
      <c r="A58" t="str">
        <f t="shared" si="1"/>
        <v>1_Scopus_57</v>
      </c>
      <c r="B58" t="s">
        <v>76</v>
      </c>
      <c r="C58" t="s">
        <v>726</v>
      </c>
      <c r="D58" t="s">
        <v>549</v>
      </c>
      <c r="E58" t="s">
        <v>488</v>
      </c>
      <c r="F58">
        <v>2020</v>
      </c>
      <c r="G58">
        <v>12</v>
      </c>
      <c r="H58" t="s">
        <v>408</v>
      </c>
    </row>
    <row r="59" spans="1:8" x14ac:dyDescent="0.2">
      <c r="A59" t="str">
        <f t="shared" si="1"/>
        <v>1_Scopus_58</v>
      </c>
      <c r="B59" t="s">
        <v>294</v>
      </c>
      <c r="C59" t="s">
        <v>104</v>
      </c>
      <c r="D59" t="s">
        <v>104</v>
      </c>
      <c r="E59" t="s">
        <v>453</v>
      </c>
      <c r="F59">
        <v>2022</v>
      </c>
      <c r="G59">
        <v>0</v>
      </c>
      <c r="H59" t="s">
        <v>366</v>
      </c>
    </row>
    <row r="60" spans="1:8" x14ac:dyDescent="0.2">
      <c r="A60" t="str">
        <f t="shared" si="1"/>
        <v>1_Scopus_59</v>
      </c>
      <c r="B60" t="s">
        <v>59</v>
      </c>
      <c r="C60" t="s">
        <v>727</v>
      </c>
      <c r="D60" t="s">
        <v>550</v>
      </c>
      <c r="E60" t="s">
        <v>489</v>
      </c>
      <c r="F60">
        <v>2020</v>
      </c>
      <c r="G60">
        <v>6</v>
      </c>
      <c r="H60" t="s">
        <v>409</v>
      </c>
    </row>
    <row r="61" spans="1:8" x14ac:dyDescent="0.2">
      <c r="A61" t="str">
        <f t="shared" si="1"/>
        <v>1_Scopus_60</v>
      </c>
      <c r="B61" t="s">
        <v>317</v>
      </c>
      <c r="C61" t="s">
        <v>728</v>
      </c>
      <c r="D61" t="s">
        <v>104</v>
      </c>
      <c r="E61" t="s">
        <v>490</v>
      </c>
      <c r="F61">
        <v>2020</v>
      </c>
      <c r="G61">
        <v>18</v>
      </c>
      <c r="H61" t="s">
        <v>410</v>
      </c>
    </row>
    <row r="62" spans="1:8" x14ac:dyDescent="0.2">
      <c r="A62" t="str">
        <f t="shared" si="1"/>
        <v>1_Scopus_61</v>
      </c>
      <c r="B62" t="s">
        <v>303</v>
      </c>
      <c r="C62" t="s">
        <v>104</v>
      </c>
      <c r="D62" t="s">
        <v>104</v>
      </c>
      <c r="E62" t="s">
        <v>742</v>
      </c>
      <c r="F62">
        <v>2021</v>
      </c>
      <c r="G62">
        <v>0</v>
      </c>
      <c r="H62" t="s">
        <v>388</v>
      </c>
    </row>
    <row r="63" spans="1:8" x14ac:dyDescent="0.2">
      <c r="A63" t="str">
        <f t="shared" si="1"/>
        <v>1_Scopus_62</v>
      </c>
      <c r="B63" t="s">
        <v>280</v>
      </c>
      <c r="C63" t="s">
        <v>670</v>
      </c>
      <c r="D63" t="s">
        <v>502</v>
      </c>
      <c r="E63" t="s">
        <v>427</v>
      </c>
      <c r="F63">
        <v>2024</v>
      </c>
      <c r="G63">
        <v>0</v>
      </c>
      <c r="H63" t="s">
        <v>337</v>
      </c>
    </row>
    <row r="64" spans="1:8" x14ac:dyDescent="0.2">
      <c r="A64" t="str">
        <f t="shared" si="1"/>
        <v>1_Scopus_63</v>
      </c>
      <c r="B64" t="s">
        <v>298</v>
      </c>
      <c r="C64" t="s">
        <v>104</v>
      </c>
      <c r="D64" t="s">
        <v>104</v>
      </c>
      <c r="E64" t="s">
        <v>740</v>
      </c>
      <c r="F64">
        <v>2022</v>
      </c>
      <c r="G64">
        <v>0</v>
      </c>
      <c r="H64" t="s">
        <v>375</v>
      </c>
    </row>
    <row r="65" spans="1:8" x14ac:dyDescent="0.2">
      <c r="A65" t="str">
        <f t="shared" si="1"/>
        <v>1_Scopus_64</v>
      </c>
      <c r="B65" t="s">
        <v>293</v>
      </c>
      <c r="C65" t="s">
        <v>691</v>
      </c>
      <c r="D65" t="s">
        <v>518</v>
      </c>
      <c r="E65" t="s">
        <v>450</v>
      </c>
      <c r="F65">
        <v>2022</v>
      </c>
      <c r="G65">
        <v>31</v>
      </c>
      <c r="H65" t="s">
        <v>362</v>
      </c>
    </row>
    <row r="66" spans="1:8" x14ac:dyDescent="0.2">
      <c r="A66" t="str">
        <f t="shared" ref="A66:A94" si="2">"1_Scopus_" &amp; ROW()-1</f>
        <v>1_Scopus_65</v>
      </c>
      <c r="B66" t="s">
        <v>304</v>
      </c>
      <c r="C66" t="s">
        <v>712</v>
      </c>
      <c r="D66" t="s">
        <v>537</v>
      </c>
      <c r="E66" t="s">
        <v>471</v>
      </c>
      <c r="F66">
        <v>2021</v>
      </c>
      <c r="G66">
        <v>0</v>
      </c>
      <c r="H66" t="s">
        <v>389</v>
      </c>
    </row>
    <row r="67" spans="1:8" x14ac:dyDescent="0.2">
      <c r="A67" t="str">
        <f t="shared" si="2"/>
        <v>1_Scopus_66</v>
      </c>
      <c r="B67" t="s">
        <v>210</v>
      </c>
      <c r="C67" t="s">
        <v>661</v>
      </c>
      <c r="D67" t="s">
        <v>496</v>
      </c>
      <c r="E67" t="s">
        <v>418</v>
      </c>
      <c r="F67">
        <v>2024</v>
      </c>
      <c r="G67">
        <v>0</v>
      </c>
      <c r="H67" t="s">
        <v>327</v>
      </c>
    </row>
    <row r="68" spans="1:8" x14ac:dyDescent="0.2">
      <c r="A68" t="str">
        <f t="shared" si="2"/>
        <v>1_Scopus_67</v>
      </c>
      <c r="B68" t="s">
        <v>309</v>
      </c>
      <c r="C68" t="s">
        <v>719</v>
      </c>
      <c r="D68" t="s">
        <v>545</v>
      </c>
      <c r="E68" t="s">
        <v>479</v>
      </c>
      <c r="F68">
        <v>2021</v>
      </c>
      <c r="G68">
        <v>13</v>
      </c>
      <c r="H68" t="s">
        <v>398</v>
      </c>
    </row>
    <row r="69" spans="1:8" x14ac:dyDescent="0.2">
      <c r="A69" t="str">
        <f t="shared" si="2"/>
        <v>1_Scopus_68</v>
      </c>
      <c r="B69" t="s">
        <v>278</v>
      </c>
      <c r="C69" t="s">
        <v>666</v>
      </c>
      <c r="D69" t="s">
        <v>498</v>
      </c>
      <c r="E69" t="s">
        <v>424</v>
      </c>
      <c r="F69">
        <v>2024</v>
      </c>
      <c r="G69">
        <v>0</v>
      </c>
      <c r="H69" t="s">
        <v>333</v>
      </c>
    </row>
    <row r="70" spans="1:8" x14ac:dyDescent="0.2">
      <c r="A70" t="str">
        <f t="shared" si="2"/>
        <v>1_Scopus_69</v>
      </c>
      <c r="B70" t="s">
        <v>73</v>
      </c>
      <c r="C70" t="s">
        <v>654</v>
      </c>
      <c r="D70" t="s">
        <v>104</v>
      </c>
      <c r="E70" t="s">
        <v>412</v>
      </c>
      <c r="F70">
        <v>2024</v>
      </c>
      <c r="G70">
        <v>3</v>
      </c>
      <c r="H70" t="s">
        <v>320</v>
      </c>
    </row>
    <row r="71" spans="1:8" x14ac:dyDescent="0.2">
      <c r="A71" t="str">
        <f t="shared" si="2"/>
        <v>1_Scopus_70</v>
      </c>
      <c r="B71" t="s">
        <v>70</v>
      </c>
      <c r="C71" t="s">
        <v>673</v>
      </c>
      <c r="D71" t="s">
        <v>505</v>
      </c>
      <c r="E71" t="s">
        <v>430</v>
      </c>
      <c r="F71">
        <v>2023</v>
      </c>
      <c r="G71">
        <v>3</v>
      </c>
      <c r="H71" t="s">
        <v>340</v>
      </c>
    </row>
    <row r="72" spans="1:8" x14ac:dyDescent="0.2">
      <c r="A72" t="str">
        <f t="shared" si="2"/>
        <v>1_Scopus_71</v>
      </c>
      <c r="B72" t="s">
        <v>307</v>
      </c>
      <c r="C72" t="s">
        <v>104</v>
      </c>
      <c r="D72" t="s">
        <v>104</v>
      </c>
      <c r="E72" t="s">
        <v>744</v>
      </c>
      <c r="F72">
        <v>2021</v>
      </c>
      <c r="G72">
        <v>0</v>
      </c>
      <c r="H72" t="s">
        <v>395</v>
      </c>
    </row>
    <row r="73" spans="1:8" x14ac:dyDescent="0.2">
      <c r="A73" t="str">
        <f t="shared" si="2"/>
        <v>1_Scopus_72</v>
      </c>
      <c r="B73" t="s">
        <v>58</v>
      </c>
      <c r="C73" t="s">
        <v>655</v>
      </c>
      <c r="D73" t="s">
        <v>108</v>
      </c>
      <c r="E73" t="s">
        <v>413</v>
      </c>
      <c r="F73">
        <v>2024</v>
      </c>
      <c r="G73">
        <v>1</v>
      </c>
      <c r="H73" t="s">
        <v>321</v>
      </c>
    </row>
    <row r="74" spans="1:8" x14ac:dyDescent="0.2">
      <c r="A74" t="str">
        <f t="shared" si="2"/>
        <v>1_Scopus_73</v>
      </c>
      <c r="B74" t="s">
        <v>61</v>
      </c>
      <c r="C74" t="s">
        <v>682</v>
      </c>
      <c r="D74" t="s">
        <v>509</v>
      </c>
      <c r="E74" t="s">
        <v>442</v>
      </c>
      <c r="F74">
        <v>2023</v>
      </c>
      <c r="G74">
        <v>0</v>
      </c>
      <c r="H74" t="s">
        <v>352</v>
      </c>
    </row>
    <row r="75" spans="1:8" x14ac:dyDescent="0.2">
      <c r="A75" t="str">
        <f t="shared" si="2"/>
        <v>1_Scopus_74</v>
      </c>
      <c r="B75" t="s">
        <v>88</v>
      </c>
      <c r="C75" t="s">
        <v>705</v>
      </c>
      <c r="D75" t="s">
        <v>529</v>
      </c>
      <c r="E75" t="s">
        <v>463</v>
      </c>
      <c r="F75">
        <v>2022</v>
      </c>
      <c r="G75">
        <v>9</v>
      </c>
      <c r="H75" t="s">
        <v>379</v>
      </c>
    </row>
    <row r="76" spans="1:8" x14ac:dyDescent="0.2">
      <c r="A76" t="str">
        <f t="shared" si="2"/>
        <v>1_Scopus_75</v>
      </c>
      <c r="B76" t="s">
        <v>74</v>
      </c>
      <c r="C76" t="s">
        <v>711</v>
      </c>
      <c r="D76" t="s">
        <v>535</v>
      </c>
      <c r="E76" t="s">
        <v>469</v>
      </c>
      <c r="F76">
        <v>2021</v>
      </c>
      <c r="G76">
        <v>6</v>
      </c>
      <c r="H76" t="s">
        <v>385</v>
      </c>
    </row>
    <row r="77" spans="1:8" x14ac:dyDescent="0.2">
      <c r="A77" t="str">
        <f t="shared" si="2"/>
        <v>1_Scopus_76</v>
      </c>
      <c r="B77" t="s">
        <v>57</v>
      </c>
      <c r="C77" t="s">
        <v>695</v>
      </c>
      <c r="D77" t="s">
        <v>107</v>
      </c>
      <c r="E77" t="s">
        <v>454</v>
      </c>
      <c r="F77">
        <v>2022</v>
      </c>
      <c r="G77">
        <v>11</v>
      </c>
      <c r="H77" t="s">
        <v>367</v>
      </c>
    </row>
    <row r="78" spans="1:8" x14ac:dyDescent="0.2">
      <c r="A78" t="str">
        <f t="shared" si="2"/>
        <v>1_Scopus_77</v>
      </c>
      <c r="B78" t="s">
        <v>274</v>
      </c>
      <c r="C78" t="s">
        <v>658</v>
      </c>
      <c r="D78" t="s">
        <v>493</v>
      </c>
      <c r="E78" t="s">
        <v>416</v>
      </c>
      <c r="F78">
        <v>2024</v>
      </c>
      <c r="G78">
        <v>0</v>
      </c>
      <c r="H78" t="s">
        <v>324</v>
      </c>
    </row>
    <row r="79" spans="1:8" x14ac:dyDescent="0.2">
      <c r="A79" t="str">
        <f t="shared" si="2"/>
        <v>1_Scopus_78</v>
      </c>
      <c r="B79" t="s">
        <v>281</v>
      </c>
      <c r="C79" t="s">
        <v>674</v>
      </c>
      <c r="D79" t="s">
        <v>104</v>
      </c>
      <c r="E79" t="s">
        <v>431</v>
      </c>
      <c r="F79">
        <v>2023</v>
      </c>
      <c r="G79">
        <v>8</v>
      </c>
      <c r="H79" t="s">
        <v>341</v>
      </c>
    </row>
    <row r="80" spans="1:8" x14ac:dyDescent="0.2">
      <c r="A80" t="str">
        <f t="shared" si="2"/>
        <v>1_Scopus_79</v>
      </c>
      <c r="B80" t="s">
        <v>54</v>
      </c>
      <c r="C80" t="s">
        <v>697</v>
      </c>
      <c r="D80" t="s">
        <v>104</v>
      </c>
      <c r="E80" t="s">
        <v>456</v>
      </c>
      <c r="F80">
        <v>2022</v>
      </c>
      <c r="G80">
        <v>2</v>
      </c>
      <c r="H80" t="s">
        <v>369</v>
      </c>
    </row>
    <row r="81" spans="1:8" x14ac:dyDescent="0.2">
      <c r="A81" t="str">
        <f t="shared" si="2"/>
        <v>1_Scopus_80</v>
      </c>
      <c r="B81" t="s">
        <v>90</v>
      </c>
      <c r="C81" t="s">
        <v>702</v>
      </c>
      <c r="D81" t="s">
        <v>526</v>
      </c>
      <c r="E81" t="s">
        <v>461</v>
      </c>
      <c r="F81">
        <v>2022</v>
      </c>
      <c r="G81">
        <v>6</v>
      </c>
      <c r="H81" t="s">
        <v>376</v>
      </c>
    </row>
    <row r="82" spans="1:8" x14ac:dyDescent="0.2">
      <c r="A82" t="str">
        <f t="shared" si="2"/>
        <v>1_Scopus_81</v>
      </c>
      <c r="B82" t="s">
        <v>299</v>
      </c>
      <c r="C82" t="s">
        <v>703</v>
      </c>
      <c r="D82" t="s">
        <v>527</v>
      </c>
      <c r="E82" t="s">
        <v>743</v>
      </c>
      <c r="F82">
        <v>2021</v>
      </c>
      <c r="G82">
        <v>3</v>
      </c>
      <c r="H82" t="s">
        <v>377</v>
      </c>
    </row>
    <row r="83" spans="1:8" x14ac:dyDescent="0.2">
      <c r="A83" t="str">
        <f t="shared" si="2"/>
        <v>1_Scopus_82</v>
      </c>
      <c r="B83" t="s">
        <v>205</v>
      </c>
      <c r="C83" t="s">
        <v>677</v>
      </c>
      <c r="D83" t="s">
        <v>506</v>
      </c>
      <c r="E83" t="s">
        <v>435</v>
      </c>
      <c r="F83">
        <v>2023</v>
      </c>
      <c r="G83">
        <v>0</v>
      </c>
      <c r="H83" t="s">
        <v>345</v>
      </c>
    </row>
    <row r="84" spans="1:8" x14ac:dyDescent="0.2">
      <c r="A84" t="str">
        <f t="shared" si="2"/>
        <v>1_Scopus_83</v>
      </c>
      <c r="B84" t="s">
        <v>288</v>
      </c>
      <c r="C84" t="s">
        <v>686</v>
      </c>
      <c r="D84" t="s">
        <v>513</v>
      </c>
      <c r="E84" t="s">
        <v>445</v>
      </c>
      <c r="F84">
        <v>2023</v>
      </c>
      <c r="G84">
        <v>3</v>
      </c>
      <c r="H84" t="s">
        <v>356</v>
      </c>
    </row>
    <row r="85" spans="1:8" x14ac:dyDescent="0.2">
      <c r="A85" t="str">
        <f t="shared" si="2"/>
        <v>1_Scopus_84</v>
      </c>
      <c r="B85" t="s">
        <v>204</v>
      </c>
      <c r="C85" t="s">
        <v>679</v>
      </c>
      <c r="D85" t="s">
        <v>508</v>
      </c>
      <c r="E85" t="s">
        <v>438</v>
      </c>
      <c r="F85">
        <v>2023</v>
      </c>
      <c r="G85">
        <v>0</v>
      </c>
      <c r="H85" t="s">
        <v>348</v>
      </c>
    </row>
    <row r="86" spans="1:8" x14ac:dyDescent="0.2">
      <c r="A86" t="str">
        <f t="shared" si="2"/>
        <v>1_Scopus_85</v>
      </c>
      <c r="B86" t="s">
        <v>65</v>
      </c>
      <c r="C86" t="s">
        <v>687</v>
      </c>
      <c r="D86" t="s">
        <v>514</v>
      </c>
      <c r="E86" t="s">
        <v>446</v>
      </c>
      <c r="F86">
        <v>2023</v>
      </c>
      <c r="G86">
        <v>3</v>
      </c>
      <c r="H86" t="s">
        <v>357</v>
      </c>
    </row>
    <row r="87" spans="1:8" x14ac:dyDescent="0.2">
      <c r="A87" t="str">
        <f t="shared" si="2"/>
        <v>1_Scopus_86</v>
      </c>
      <c r="B87" t="s">
        <v>273</v>
      </c>
      <c r="C87" t="s">
        <v>656</v>
      </c>
      <c r="D87" t="s">
        <v>491</v>
      </c>
      <c r="E87" t="s">
        <v>414</v>
      </c>
      <c r="F87">
        <v>2024</v>
      </c>
      <c r="G87">
        <v>0</v>
      </c>
      <c r="H87" t="s">
        <v>322</v>
      </c>
    </row>
    <row r="88" spans="1:8" x14ac:dyDescent="0.2">
      <c r="A88" t="str">
        <f t="shared" si="2"/>
        <v>1_Scopus_87</v>
      </c>
      <c r="B88" t="s">
        <v>289</v>
      </c>
      <c r="C88" t="s">
        <v>104</v>
      </c>
      <c r="D88" t="s">
        <v>104</v>
      </c>
      <c r="E88" t="s">
        <v>447</v>
      </c>
      <c r="F88">
        <v>2023</v>
      </c>
      <c r="G88">
        <v>0</v>
      </c>
      <c r="H88" t="s">
        <v>358</v>
      </c>
    </row>
    <row r="89" spans="1:8" x14ac:dyDescent="0.2">
      <c r="A89" t="str">
        <f t="shared" si="2"/>
        <v>1_Scopus_88</v>
      </c>
      <c r="B89" t="s">
        <v>80</v>
      </c>
      <c r="C89" t="s">
        <v>710</v>
      </c>
      <c r="D89" t="s">
        <v>534</v>
      </c>
      <c r="E89" t="s">
        <v>468</v>
      </c>
      <c r="F89">
        <v>2021</v>
      </c>
      <c r="G89">
        <v>4</v>
      </c>
      <c r="H89" t="s">
        <v>384</v>
      </c>
    </row>
    <row r="90" spans="1:8" x14ac:dyDescent="0.2">
      <c r="A90" t="str">
        <f t="shared" si="2"/>
        <v>1_Scopus_89</v>
      </c>
      <c r="B90" t="s">
        <v>276</v>
      </c>
      <c r="C90" t="s">
        <v>104</v>
      </c>
      <c r="D90" t="s">
        <v>104</v>
      </c>
      <c r="E90" t="s">
        <v>419</v>
      </c>
      <c r="F90">
        <v>2024</v>
      </c>
      <c r="G90">
        <v>0</v>
      </c>
      <c r="H90" t="s">
        <v>328</v>
      </c>
    </row>
    <row r="91" spans="1:8" x14ac:dyDescent="0.2">
      <c r="A91" t="str">
        <f t="shared" si="2"/>
        <v>1_Scopus_90</v>
      </c>
      <c r="B91" t="s">
        <v>275</v>
      </c>
      <c r="C91" t="s">
        <v>659</v>
      </c>
      <c r="D91" t="s">
        <v>494</v>
      </c>
      <c r="E91" t="s">
        <v>735</v>
      </c>
      <c r="F91">
        <v>2024</v>
      </c>
      <c r="G91">
        <v>0</v>
      </c>
      <c r="H91" t="s">
        <v>325</v>
      </c>
    </row>
    <row r="92" spans="1:8" x14ac:dyDescent="0.2">
      <c r="A92" t="str">
        <f t="shared" si="2"/>
        <v>1_Scopus_91</v>
      </c>
      <c r="B92" t="s">
        <v>55</v>
      </c>
      <c r="C92" t="s">
        <v>706</v>
      </c>
      <c r="D92" t="s">
        <v>530</v>
      </c>
      <c r="E92" t="s">
        <v>464</v>
      </c>
      <c r="F92">
        <v>2022</v>
      </c>
      <c r="G92">
        <v>4</v>
      </c>
      <c r="H92" t="s">
        <v>380</v>
      </c>
    </row>
    <row r="93" spans="1:8" x14ac:dyDescent="0.2">
      <c r="A93" t="str">
        <f t="shared" si="2"/>
        <v>1_Scopus_92</v>
      </c>
      <c r="B93" t="s">
        <v>207</v>
      </c>
      <c r="C93" t="s">
        <v>664</v>
      </c>
      <c r="D93" t="s">
        <v>104</v>
      </c>
      <c r="E93" t="s">
        <v>422</v>
      </c>
      <c r="F93">
        <v>2024</v>
      </c>
      <c r="G93">
        <v>0</v>
      </c>
      <c r="H93" t="s">
        <v>331</v>
      </c>
    </row>
    <row r="94" spans="1:8" x14ac:dyDescent="0.2">
      <c r="A94" t="str">
        <f t="shared" si="2"/>
        <v>1_Scopus_93</v>
      </c>
      <c r="B94" t="s">
        <v>300</v>
      </c>
      <c r="C94" t="s">
        <v>707</v>
      </c>
      <c r="D94" t="s">
        <v>531</v>
      </c>
      <c r="E94" t="s">
        <v>465</v>
      </c>
      <c r="F94">
        <v>2022</v>
      </c>
      <c r="G94">
        <v>0</v>
      </c>
      <c r="H94" t="s">
        <v>381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1960-6B64-46AF-B5D8-C677DEB11749}">
  <dimension ref="A1:H44"/>
  <sheetViews>
    <sheetView workbookViewId="0">
      <selection activeCell="A2" sqref="A2"/>
    </sheetView>
  </sheetViews>
  <sheetFormatPr baseColWidth="10" defaultColWidth="8.83203125" defaultRowHeight="15" x14ac:dyDescent="0.2"/>
  <cols>
    <col min="1" max="1" width="11.33203125" customWidth="1"/>
    <col min="2" max="2" width="73.5" customWidth="1"/>
    <col min="3" max="3" width="24.5" customWidth="1"/>
    <col min="4" max="4" width="29.6640625" customWidth="1"/>
    <col min="5" max="5" width="60.33203125" style="7" customWidth="1"/>
    <col min="6" max="6" width="15.1640625" style="7" customWidth="1"/>
    <col min="7" max="7" width="14.1640625" customWidth="1"/>
    <col min="8" max="8" width="49.1640625" customWidth="1"/>
  </cols>
  <sheetData>
    <row r="1" spans="1:8" x14ac:dyDescent="0.2">
      <c r="A1" t="s">
        <v>184</v>
      </c>
      <c r="B1" t="s">
        <v>50</v>
      </c>
      <c r="C1" t="s">
        <v>8</v>
      </c>
      <c r="D1" t="s">
        <v>101</v>
      </c>
      <c r="E1" t="s">
        <v>137</v>
      </c>
      <c r="F1" s="8" t="s">
        <v>181</v>
      </c>
      <c r="G1" s="8" t="s">
        <v>183</v>
      </c>
      <c r="H1" t="s">
        <v>272</v>
      </c>
    </row>
    <row r="2" spans="1:8" x14ac:dyDescent="0.2">
      <c r="A2" t="str">
        <f t="shared" ref="A2:A44" si="0">"1_WoS_" &amp; ROW()-1</f>
        <v>1_WoS_1</v>
      </c>
      <c r="B2" t="s">
        <v>52</v>
      </c>
      <c r="C2" t="s">
        <v>10</v>
      </c>
      <c r="D2" t="s">
        <v>103</v>
      </c>
      <c r="E2" t="s">
        <v>139</v>
      </c>
      <c r="F2">
        <v>2024</v>
      </c>
      <c r="G2">
        <v>0</v>
      </c>
      <c r="H2" t="str">
        <f>HYPERLINK("http://dx.doi.org/10.1109/TSP.2024.3401072","http://dx.doi.org/10.1109/TSP.2024.3401072")</f>
        <v>http://dx.doi.org/10.1109/TSP.2024.3401072</v>
      </c>
    </row>
    <row r="3" spans="1:8" x14ac:dyDescent="0.2">
      <c r="A3" t="str">
        <f t="shared" si="0"/>
        <v>1_WoS_2</v>
      </c>
      <c r="B3" t="s">
        <v>53</v>
      </c>
      <c r="C3" t="s">
        <v>11</v>
      </c>
      <c r="D3" t="s">
        <v>105</v>
      </c>
      <c r="E3" t="s">
        <v>140</v>
      </c>
      <c r="F3">
        <v>2020</v>
      </c>
      <c r="G3">
        <v>1</v>
      </c>
      <c r="H3" t="s">
        <v>104</v>
      </c>
    </row>
    <row r="4" spans="1:8" x14ac:dyDescent="0.2">
      <c r="A4" t="str">
        <f t="shared" si="0"/>
        <v>1_WoS_3</v>
      </c>
      <c r="B4" t="s">
        <v>54</v>
      </c>
      <c r="C4" t="s">
        <v>12</v>
      </c>
      <c r="D4" t="s">
        <v>104</v>
      </c>
      <c r="E4" t="s">
        <v>141</v>
      </c>
      <c r="F4">
        <v>2022</v>
      </c>
      <c r="G4">
        <v>0</v>
      </c>
      <c r="H4" t="s">
        <v>104</v>
      </c>
    </row>
    <row r="5" spans="1:8" x14ac:dyDescent="0.2">
      <c r="A5" t="str">
        <f t="shared" si="0"/>
        <v>1_WoS_4</v>
      </c>
      <c r="B5" t="s">
        <v>58</v>
      </c>
      <c r="C5" t="s">
        <v>15</v>
      </c>
      <c r="D5" t="s">
        <v>108</v>
      </c>
      <c r="E5" t="s">
        <v>144</v>
      </c>
      <c r="F5">
        <v>2024</v>
      </c>
      <c r="G5">
        <v>1</v>
      </c>
      <c r="H5" t="str">
        <f>HYPERLINK("http://dx.doi.org/10.1109/JIOT.2024.3363451","http://dx.doi.org/10.1109/JIOT.2024.3363451")</f>
        <v>http://dx.doi.org/10.1109/JIOT.2024.3363451</v>
      </c>
    </row>
    <row r="6" spans="1:8" x14ac:dyDescent="0.2">
      <c r="A6" t="str">
        <f t="shared" si="0"/>
        <v>1_WoS_5</v>
      </c>
      <c r="B6" t="s">
        <v>55</v>
      </c>
      <c r="C6" t="s">
        <v>13</v>
      </c>
      <c r="D6" t="s">
        <v>106</v>
      </c>
      <c r="E6" t="s">
        <v>142</v>
      </c>
      <c r="F6">
        <v>2022</v>
      </c>
      <c r="G6">
        <v>3</v>
      </c>
      <c r="H6" t="str">
        <f>HYPERLINK("http://dx.doi.org/10.1109/TGRS.2022.3206540","http://dx.doi.org/10.1109/TGRS.2022.3206540")</f>
        <v>http://dx.doi.org/10.1109/TGRS.2022.3206540</v>
      </c>
    </row>
    <row r="7" spans="1:8" x14ac:dyDescent="0.2">
      <c r="A7" t="str">
        <f t="shared" si="0"/>
        <v>1_WoS_6</v>
      </c>
      <c r="B7" t="s">
        <v>62</v>
      </c>
      <c r="C7" t="s">
        <v>18</v>
      </c>
      <c r="D7" t="s">
        <v>111</v>
      </c>
      <c r="E7" t="s">
        <v>147</v>
      </c>
      <c r="F7">
        <v>2022</v>
      </c>
      <c r="G7">
        <v>0</v>
      </c>
      <c r="H7" t="s">
        <v>104</v>
      </c>
    </row>
    <row r="8" spans="1:8" x14ac:dyDescent="0.2">
      <c r="A8" t="str">
        <f t="shared" si="0"/>
        <v>1_WoS_7</v>
      </c>
      <c r="B8" t="s">
        <v>57</v>
      </c>
      <c r="C8" t="s">
        <v>14</v>
      </c>
      <c r="D8" t="s">
        <v>107</v>
      </c>
      <c r="E8" t="s">
        <v>143</v>
      </c>
      <c r="F8">
        <v>2022</v>
      </c>
      <c r="G8">
        <v>10</v>
      </c>
      <c r="H8" t="str">
        <f>HYPERLINK("http://dx.doi.org/10.1016/j.jprocont.2022.06.014","http://dx.doi.org/10.1016/j.jprocont.2022.06.014")</f>
        <v>http://dx.doi.org/10.1016/j.jprocont.2022.06.014</v>
      </c>
    </row>
    <row r="9" spans="1:8" x14ac:dyDescent="0.2">
      <c r="A9" t="str">
        <f t="shared" si="0"/>
        <v>1_WoS_8</v>
      </c>
      <c r="B9" t="s">
        <v>60</v>
      </c>
      <c r="C9" t="s">
        <v>17</v>
      </c>
      <c r="D9" t="s">
        <v>110</v>
      </c>
      <c r="E9" t="s">
        <v>146</v>
      </c>
      <c r="F9">
        <v>2024</v>
      </c>
      <c r="G9">
        <v>0</v>
      </c>
      <c r="H9" t="str">
        <f>HYPERLINK("http://dx.doi.org/10.1109/JIOT.2024.3381002","http://dx.doi.org/10.1109/JIOT.2024.3381002")</f>
        <v>http://dx.doi.org/10.1109/JIOT.2024.3381002</v>
      </c>
    </row>
    <row r="10" spans="1:8" x14ac:dyDescent="0.2">
      <c r="A10" t="str">
        <f t="shared" si="0"/>
        <v>1_WoS_9</v>
      </c>
      <c r="B10" t="s">
        <v>66</v>
      </c>
      <c r="C10" t="s">
        <v>11</v>
      </c>
      <c r="D10" t="s">
        <v>115</v>
      </c>
      <c r="E10" t="s">
        <v>151</v>
      </c>
      <c r="F10">
        <v>2021</v>
      </c>
      <c r="G10">
        <v>1</v>
      </c>
      <c r="H10" t="str">
        <f>HYPERLINK("http://dx.doi.org/10.1109/ACCESS.2021.3120994","http://dx.doi.org/10.1109/ACCESS.2021.3120994")</f>
        <v>http://dx.doi.org/10.1109/ACCESS.2021.3120994</v>
      </c>
    </row>
    <row r="11" spans="1:8" x14ac:dyDescent="0.2">
      <c r="A11" t="str">
        <f t="shared" si="0"/>
        <v>1_WoS_10</v>
      </c>
      <c r="B11" t="s">
        <v>68</v>
      </c>
      <c r="C11" t="s">
        <v>23</v>
      </c>
      <c r="D11" t="s">
        <v>104</v>
      </c>
      <c r="E11" t="s">
        <v>153</v>
      </c>
      <c r="F11">
        <v>2020</v>
      </c>
      <c r="G11">
        <v>15</v>
      </c>
      <c r="H11" t="str">
        <f>HYPERLINK("http://dx.doi.org/10.1109/ICDE48307.2020.00227","http://dx.doi.org/10.1109/ICDE48307.2020.00227")</f>
        <v>http://dx.doi.org/10.1109/ICDE48307.2020.00227</v>
      </c>
    </row>
    <row r="12" spans="1:8" x14ac:dyDescent="0.2">
      <c r="A12" t="str">
        <f t="shared" si="0"/>
        <v>1_WoS_11</v>
      </c>
      <c r="B12" t="s">
        <v>65</v>
      </c>
      <c r="C12" t="s">
        <v>21</v>
      </c>
      <c r="D12" t="s">
        <v>114</v>
      </c>
      <c r="E12" t="s">
        <v>150</v>
      </c>
      <c r="F12">
        <v>2023</v>
      </c>
      <c r="G12">
        <v>2</v>
      </c>
      <c r="H12" t="str">
        <f>HYPERLINK("http://dx.doi.org/10.1109/TSP.2023.3282068","http://dx.doi.org/10.1109/TSP.2023.3282068")</f>
        <v>http://dx.doi.org/10.1109/TSP.2023.3282068</v>
      </c>
    </row>
    <row r="13" spans="1:8" x14ac:dyDescent="0.2">
      <c r="A13" t="str">
        <f t="shared" si="0"/>
        <v>1_WoS_12</v>
      </c>
      <c r="B13" t="s">
        <v>72</v>
      </c>
      <c r="C13" t="s">
        <v>26</v>
      </c>
      <c r="D13" t="s">
        <v>120</v>
      </c>
      <c r="E13" t="s">
        <v>157</v>
      </c>
      <c r="F13">
        <v>2023</v>
      </c>
      <c r="G13">
        <v>4</v>
      </c>
      <c r="H13" t="str">
        <f>HYPERLINK("http://dx.doi.org/10.1109/TNNLS.2020.3004626","http://dx.doi.org/10.1109/TNNLS.2020.3004626")</f>
        <v>http://dx.doi.org/10.1109/TNNLS.2020.3004626</v>
      </c>
    </row>
    <row r="14" spans="1:8" x14ac:dyDescent="0.2">
      <c r="A14" t="str">
        <f t="shared" si="0"/>
        <v>1_WoS_13</v>
      </c>
      <c r="B14" t="s">
        <v>69</v>
      </c>
      <c r="C14" t="s">
        <v>24</v>
      </c>
      <c r="D14" t="s">
        <v>117</v>
      </c>
      <c r="E14" t="s">
        <v>154</v>
      </c>
      <c r="F14">
        <v>2020</v>
      </c>
      <c r="G14">
        <v>0</v>
      </c>
      <c r="H14" t="str">
        <f>HYPERLINK("http://dx.doi.org/10.1007/978-3-030-57058-3_27","http://dx.doi.org/10.1007/978-3-030-57058-3_27")</f>
        <v>http://dx.doi.org/10.1007/978-3-030-57058-3_27</v>
      </c>
    </row>
    <row r="15" spans="1:8" x14ac:dyDescent="0.2">
      <c r="A15" t="str">
        <f t="shared" si="0"/>
        <v>1_WoS_14</v>
      </c>
      <c r="B15" t="s">
        <v>71</v>
      </c>
      <c r="C15" t="s">
        <v>20</v>
      </c>
      <c r="D15" t="s">
        <v>119</v>
      </c>
      <c r="E15" t="s">
        <v>156</v>
      </c>
      <c r="F15">
        <v>2021</v>
      </c>
      <c r="G15">
        <v>2</v>
      </c>
      <c r="H15" t="str">
        <f>HYPERLINK("http://dx.doi.org/10.1109/MLSP52302.2021.9596512","http://dx.doi.org/10.1109/MLSP52302.2021.9596512")</f>
        <v>http://dx.doi.org/10.1109/MLSP52302.2021.9596512</v>
      </c>
    </row>
    <row r="16" spans="1:8" x14ac:dyDescent="0.2">
      <c r="A16" t="str">
        <f t="shared" si="0"/>
        <v>1_WoS_15</v>
      </c>
      <c r="B16" t="s">
        <v>76</v>
      </c>
      <c r="C16" t="s">
        <v>29</v>
      </c>
      <c r="D16" t="s">
        <v>122</v>
      </c>
      <c r="E16" t="s">
        <v>160</v>
      </c>
      <c r="F16">
        <v>2020</v>
      </c>
      <c r="G16">
        <v>12</v>
      </c>
      <c r="H16" t="str">
        <f>HYPERLINK("http://dx.doi.org/10.1007/s11280-019-00674-0","http://dx.doi.org/10.1007/s11280-019-00674-0")</f>
        <v>http://dx.doi.org/10.1007/s11280-019-00674-0</v>
      </c>
    </row>
    <row r="17" spans="1:8" x14ac:dyDescent="0.2">
      <c r="A17" t="str">
        <f t="shared" si="0"/>
        <v>1_WoS_16</v>
      </c>
      <c r="B17" t="s">
        <v>86</v>
      </c>
      <c r="C17" t="s">
        <v>38</v>
      </c>
      <c r="D17" t="s">
        <v>128</v>
      </c>
      <c r="E17" t="s">
        <v>169</v>
      </c>
      <c r="F17">
        <v>2023</v>
      </c>
      <c r="G17">
        <v>3</v>
      </c>
      <c r="H17" t="str">
        <f>HYPERLINK("http://dx.doi.org/10.1109/TSIPN.2023.3304142","http://dx.doi.org/10.1109/TSIPN.2023.3304142")</f>
        <v>http://dx.doi.org/10.1109/TSIPN.2023.3304142</v>
      </c>
    </row>
    <row r="18" spans="1:8" x14ac:dyDescent="0.2">
      <c r="A18" t="str">
        <f t="shared" si="0"/>
        <v>1_WoS_17</v>
      </c>
      <c r="B18" t="s">
        <v>59</v>
      </c>
      <c r="C18" t="s">
        <v>16</v>
      </c>
      <c r="D18" t="s">
        <v>109</v>
      </c>
      <c r="E18" t="s">
        <v>145</v>
      </c>
      <c r="F18">
        <v>2020</v>
      </c>
      <c r="G18">
        <v>5</v>
      </c>
      <c r="H18" t="str">
        <f>HYPERLINK("http://dx.doi.org/10.1109/JSTARS.2020.2985503","http://dx.doi.org/10.1109/JSTARS.2020.2985503")</f>
        <v>http://dx.doi.org/10.1109/JSTARS.2020.2985503</v>
      </c>
    </row>
    <row r="19" spans="1:8" x14ac:dyDescent="0.2">
      <c r="A19" t="str">
        <f t="shared" si="0"/>
        <v>1_WoS_18</v>
      </c>
      <c r="B19" t="s">
        <v>64</v>
      </c>
      <c r="C19" t="s">
        <v>20</v>
      </c>
      <c r="D19" t="s">
        <v>113</v>
      </c>
      <c r="E19" t="s">
        <v>149</v>
      </c>
      <c r="F19">
        <v>2021</v>
      </c>
      <c r="G19">
        <v>7</v>
      </c>
      <c r="H19" t="str">
        <f>HYPERLINK("http://dx.doi.org/10.1109/DSLW51110.2021.9523399","http://dx.doi.org/10.1109/DSLW51110.2021.9523399")</f>
        <v>http://dx.doi.org/10.1109/DSLW51110.2021.9523399</v>
      </c>
    </row>
    <row r="20" spans="1:8" x14ac:dyDescent="0.2">
      <c r="A20" t="str">
        <f t="shared" si="0"/>
        <v>1_WoS_19</v>
      </c>
      <c r="B20" t="s">
        <v>81</v>
      </c>
      <c r="C20" t="s">
        <v>34</v>
      </c>
      <c r="D20" t="s">
        <v>104</v>
      </c>
      <c r="E20" t="s">
        <v>165</v>
      </c>
      <c r="F20">
        <v>2023</v>
      </c>
      <c r="G20">
        <v>0</v>
      </c>
      <c r="H20" t="str">
        <f>HYPERLINK("http://dx.doi.org/10.1109/ITSC57777.2023.10422645","http://dx.doi.org/10.1109/ITSC57777.2023.10422645")</f>
        <v>http://dx.doi.org/10.1109/ITSC57777.2023.10422645</v>
      </c>
    </row>
    <row r="21" spans="1:8" x14ac:dyDescent="0.2">
      <c r="A21" t="str">
        <f t="shared" si="0"/>
        <v>1_WoS_20</v>
      </c>
      <c r="B21" t="s">
        <v>67</v>
      </c>
      <c r="C21" t="s">
        <v>22</v>
      </c>
      <c r="D21" t="s">
        <v>116</v>
      </c>
      <c r="E21" t="s">
        <v>152</v>
      </c>
      <c r="F21">
        <v>2022</v>
      </c>
      <c r="G21">
        <v>4</v>
      </c>
      <c r="H21" t="str">
        <f>HYPERLINK("http://dx.doi.org/10.1016/j.chaos.2022.112802","http://dx.doi.org/10.1016/j.chaos.2022.112802")</f>
        <v>http://dx.doi.org/10.1016/j.chaos.2022.112802</v>
      </c>
    </row>
    <row r="22" spans="1:8" x14ac:dyDescent="0.2">
      <c r="A22" t="str">
        <f t="shared" si="0"/>
        <v>1_WoS_21</v>
      </c>
      <c r="B22" t="s">
        <v>80</v>
      </c>
      <c r="C22" t="s">
        <v>33</v>
      </c>
      <c r="D22" t="s">
        <v>125</v>
      </c>
      <c r="E22" t="s">
        <v>164</v>
      </c>
      <c r="F22">
        <v>2021</v>
      </c>
      <c r="G22">
        <v>3</v>
      </c>
      <c r="H22" t="str">
        <f>HYPERLINK("http://dx.doi.org/10.1109/TKDE.2020.2968901","http://dx.doi.org/10.1109/TKDE.2020.2968901")</f>
        <v>http://dx.doi.org/10.1109/TKDE.2020.2968901</v>
      </c>
    </row>
    <row r="23" spans="1:8" x14ac:dyDescent="0.2">
      <c r="A23" t="str">
        <f t="shared" si="0"/>
        <v>1_WoS_22</v>
      </c>
      <c r="B23" t="s">
        <v>75</v>
      </c>
      <c r="C23" t="s">
        <v>28</v>
      </c>
      <c r="D23" t="s">
        <v>121</v>
      </c>
      <c r="E23" t="s">
        <v>159</v>
      </c>
      <c r="F23">
        <v>2020</v>
      </c>
      <c r="G23">
        <v>4</v>
      </c>
      <c r="H23" t="str">
        <f>HYPERLINK("http://dx.doi.org/10.1109/LSP.2020.3019964","http://dx.doi.org/10.1109/LSP.2020.3019964")</f>
        <v>http://dx.doi.org/10.1109/LSP.2020.3019964</v>
      </c>
    </row>
    <row r="24" spans="1:8" x14ac:dyDescent="0.2">
      <c r="A24" t="str">
        <f t="shared" si="0"/>
        <v>1_WoS_23</v>
      </c>
      <c r="B24" t="s">
        <v>63</v>
      </c>
      <c r="C24" t="s">
        <v>19</v>
      </c>
      <c r="D24" t="s">
        <v>112</v>
      </c>
      <c r="E24" t="s">
        <v>148</v>
      </c>
      <c r="F24">
        <v>2020</v>
      </c>
      <c r="G24">
        <v>16</v>
      </c>
      <c r="H24" t="str">
        <f>HYPERLINK("http://dx.doi.org/10.1016/j.isprsjprs.2020.08.023","http://dx.doi.org/10.1016/j.isprsjprs.2020.08.023")</f>
        <v>http://dx.doi.org/10.1016/j.isprsjprs.2020.08.023</v>
      </c>
    </row>
    <row r="25" spans="1:8" x14ac:dyDescent="0.2">
      <c r="A25" t="str">
        <f t="shared" si="0"/>
        <v>1_WoS_24</v>
      </c>
      <c r="B25" t="s">
        <v>70</v>
      </c>
      <c r="C25" t="s">
        <v>25</v>
      </c>
      <c r="D25" t="s">
        <v>118</v>
      </c>
      <c r="E25" t="s">
        <v>155</v>
      </c>
      <c r="F25">
        <v>2023</v>
      </c>
      <c r="G25">
        <v>2</v>
      </c>
      <c r="H25" t="str">
        <f>HYPERLINK("http://dx.doi.org/10.1016/j.eswa.2023.120149","http://dx.doi.org/10.1016/j.eswa.2023.120149")</f>
        <v>http://dx.doi.org/10.1016/j.eswa.2023.120149</v>
      </c>
    </row>
    <row r="26" spans="1:8" x14ac:dyDescent="0.2">
      <c r="A26" t="str">
        <f t="shared" si="0"/>
        <v>1_WoS_25</v>
      </c>
      <c r="B26" t="s">
        <v>78</v>
      </c>
      <c r="C26" t="s">
        <v>31</v>
      </c>
      <c r="D26" t="s">
        <v>124</v>
      </c>
      <c r="E26" t="s">
        <v>162</v>
      </c>
      <c r="F26">
        <v>2021</v>
      </c>
      <c r="G26">
        <v>20</v>
      </c>
      <c r="H26" t="str">
        <f>HYPERLINK("http://dx.doi.org/10.1145/3459637.3482254","http://dx.doi.org/10.1145/3459637.3482254")</f>
        <v>http://dx.doi.org/10.1145/3459637.3482254</v>
      </c>
    </row>
    <row r="27" spans="1:8" x14ac:dyDescent="0.2">
      <c r="A27" t="str">
        <f t="shared" si="0"/>
        <v>1_WoS_26</v>
      </c>
      <c r="B27" t="s">
        <v>51</v>
      </c>
      <c r="C27" t="s">
        <v>9</v>
      </c>
      <c r="D27" t="s">
        <v>102</v>
      </c>
      <c r="E27" t="s">
        <v>138</v>
      </c>
      <c r="F27">
        <v>2024</v>
      </c>
      <c r="G27">
        <v>0</v>
      </c>
      <c r="H27" t="str">
        <f>HYPERLINK("http://dx.doi.org/10.1186/s12874-024-02257-8","http://dx.doi.org/10.1186/s12874-024-02257-8")</f>
        <v>http://dx.doi.org/10.1186/s12874-024-02257-8</v>
      </c>
    </row>
    <row r="28" spans="1:8" x14ac:dyDescent="0.2">
      <c r="A28" t="str">
        <f t="shared" si="0"/>
        <v>1_WoS_27</v>
      </c>
      <c r="B28" t="s">
        <v>77</v>
      </c>
      <c r="C28" t="s">
        <v>30</v>
      </c>
      <c r="D28" t="s">
        <v>123</v>
      </c>
      <c r="E28" t="s">
        <v>161</v>
      </c>
      <c r="F28">
        <v>2022</v>
      </c>
      <c r="G28">
        <v>4</v>
      </c>
      <c r="H28" t="str">
        <f>HYPERLINK("http://dx.doi.org/10.7717/peerj-cs.1066","http://dx.doi.org/10.7717/peerj-cs.1066")</f>
        <v>http://dx.doi.org/10.7717/peerj-cs.1066</v>
      </c>
    </row>
    <row r="29" spans="1:8" x14ac:dyDescent="0.2">
      <c r="A29" t="str">
        <f t="shared" si="0"/>
        <v>1_WoS_28</v>
      </c>
      <c r="B29" t="s">
        <v>94</v>
      </c>
      <c r="C29" t="s">
        <v>45</v>
      </c>
      <c r="D29" t="s">
        <v>133</v>
      </c>
      <c r="E29" t="s">
        <v>176</v>
      </c>
      <c r="F29">
        <v>2022</v>
      </c>
      <c r="G29">
        <v>6</v>
      </c>
      <c r="H29" t="str">
        <f>HYPERLINK("http://dx.doi.org/10.1109/TCSS.2021.3064836","http://dx.doi.org/10.1109/TCSS.2021.3064836")</f>
        <v>http://dx.doi.org/10.1109/TCSS.2021.3064836</v>
      </c>
    </row>
    <row r="30" spans="1:8" x14ac:dyDescent="0.2">
      <c r="A30" t="str">
        <f t="shared" si="0"/>
        <v>1_WoS_29</v>
      </c>
      <c r="B30" t="s">
        <v>79</v>
      </c>
      <c r="C30" t="s">
        <v>32</v>
      </c>
      <c r="D30" t="s">
        <v>104</v>
      </c>
      <c r="E30" t="s">
        <v>163</v>
      </c>
      <c r="F30">
        <v>2020</v>
      </c>
      <c r="G30">
        <v>5</v>
      </c>
      <c r="H30" t="str">
        <f>HYPERLINK("http://dx.doi.org/10.1371/journal.pcbi.1007834","http://dx.doi.org/10.1371/journal.pcbi.1007834")</f>
        <v>http://dx.doi.org/10.1371/journal.pcbi.1007834</v>
      </c>
    </row>
    <row r="31" spans="1:8" x14ac:dyDescent="0.2">
      <c r="A31" t="str">
        <f t="shared" si="0"/>
        <v>1_WoS_30</v>
      </c>
      <c r="B31" t="s">
        <v>84</v>
      </c>
      <c r="C31" t="s">
        <v>36</v>
      </c>
      <c r="D31" t="s">
        <v>127</v>
      </c>
      <c r="E31" t="s">
        <v>167</v>
      </c>
      <c r="F31">
        <v>2023</v>
      </c>
      <c r="G31">
        <v>2</v>
      </c>
      <c r="H31" t="str">
        <f>HYPERLINK("http://dx.doi.org/10.1109/TPAMI.2022.3140886","http://dx.doi.org/10.1109/TPAMI.2022.3140886")</f>
        <v>http://dx.doi.org/10.1109/TPAMI.2022.3140886</v>
      </c>
    </row>
    <row r="32" spans="1:8" x14ac:dyDescent="0.2">
      <c r="A32" t="str">
        <f t="shared" si="0"/>
        <v>1_WoS_31</v>
      </c>
      <c r="B32" t="s">
        <v>74</v>
      </c>
      <c r="C32" t="s">
        <v>27</v>
      </c>
      <c r="D32" t="s">
        <v>104</v>
      </c>
      <c r="E32" t="s">
        <v>158</v>
      </c>
      <c r="F32">
        <v>2021</v>
      </c>
      <c r="G32">
        <v>7</v>
      </c>
      <c r="H32" t="str">
        <f>HYPERLINK("http://dx.doi.org/10.1109/CLOUD53861.2021.00072","http://dx.doi.org/10.1109/CLOUD53861.2021.00072")</f>
        <v>http://dx.doi.org/10.1109/CLOUD53861.2021.00072</v>
      </c>
    </row>
    <row r="33" spans="1:8" x14ac:dyDescent="0.2">
      <c r="A33" t="str">
        <f t="shared" si="0"/>
        <v>1_WoS_32</v>
      </c>
      <c r="B33" t="s">
        <v>90</v>
      </c>
      <c r="C33" t="s">
        <v>41</v>
      </c>
      <c r="D33" t="s">
        <v>130</v>
      </c>
      <c r="E33" t="s">
        <v>172</v>
      </c>
      <c r="F33">
        <v>2022</v>
      </c>
      <c r="G33">
        <v>6</v>
      </c>
      <c r="H33" t="str">
        <f>HYPERLINK("http://dx.doi.org/10.1109/TIP.2022.3171414","http://dx.doi.org/10.1109/TIP.2022.3171414")</f>
        <v>http://dx.doi.org/10.1109/TIP.2022.3171414</v>
      </c>
    </row>
    <row r="34" spans="1:8" x14ac:dyDescent="0.2">
      <c r="A34" t="str">
        <f t="shared" si="0"/>
        <v>1_WoS_33</v>
      </c>
      <c r="B34" t="s">
        <v>83</v>
      </c>
      <c r="C34" t="s">
        <v>35</v>
      </c>
      <c r="D34" t="s">
        <v>126</v>
      </c>
      <c r="E34" t="s">
        <v>166</v>
      </c>
      <c r="F34">
        <v>2020</v>
      </c>
      <c r="G34">
        <v>10</v>
      </c>
      <c r="H34" t="str">
        <f>HYPERLINK("http://dx.doi.org/10.3390/en13215763","http://dx.doi.org/10.3390/en13215763")</f>
        <v>http://dx.doi.org/10.3390/en13215763</v>
      </c>
    </row>
    <row r="35" spans="1:8" x14ac:dyDescent="0.2">
      <c r="A35" t="str">
        <f t="shared" si="0"/>
        <v>1_WoS_34</v>
      </c>
      <c r="B35" t="s">
        <v>85</v>
      </c>
      <c r="C35" t="s">
        <v>37</v>
      </c>
      <c r="D35" t="s">
        <v>104</v>
      </c>
      <c r="E35" t="s">
        <v>168</v>
      </c>
      <c r="F35">
        <v>2021</v>
      </c>
      <c r="G35">
        <v>3</v>
      </c>
      <c r="H35" t="str">
        <f>HYPERLINK("http://dx.doi.org/10.1109/ICPR48806.2021.9413203","http://dx.doi.org/10.1109/ICPR48806.2021.9413203")</f>
        <v>http://dx.doi.org/10.1109/ICPR48806.2021.9413203</v>
      </c>
    </row>
    <row r="36" spans="1:8" x14ac:dyDescent="0.2">
      <c r="A36" t="str">
        <f t="shared" si="0"/>
        <v>1_WoS_35</v>
      </c>
      <c r="B36" t="s">
        <v>91</v>
      </c>
      <c r="C36" t="s">
        <v>42</v>
      </c>
      <c r="D36" t="s">
        <v>131</v>
      </c>
      <c r="E36" t="s">
        <v>173</v>
      </c>
      <c r="F36">
        <v>2022</v>
      </c>
      <c r="G36">
        <v>0</v>
      </c>
      <c r="H36" t="str">
        <f>HYPERLINK("http://dx.doi.org/10.1007/978-3-031-10986-7_33","http://dx.doi.org/10.1007/978-3-031-10986-7_33")</f>
        <v>http://dx.doi.org/10.1007/978-3-031-10986-7_33</v>
      </c>
    </row>
    <row r="37" spans="1:8" x14ac:dyDescent="0.2">
      <c r="A37" t="str">
        <f t="shared" si="0"/>
        <v>1_WoS_36</v>
      </c>
      <c r="B37" t="s">
        <v>87</v>
      </c>
      <c r="C37" t="s">
        <v>39</v>
      </c>
      <c r="D37" t="s">
        <v>104</v>
      </c>
      <c r="E37" t="s">
        <v>170</v>
      </c>
      <c r="F37">
        <v>2022</v>
      </c>
      <c r="G37">
        <v>0</v>
      </c>
      <c r="H37" t="str">
        <f>HYPERLINK("http://dx.doi.org/10.1038/s41598-022-07249-6","http://dx.doi.org/10.1038/s41598-022-07249-6")</f>
        <v>http://dx.doi.org/10.1038/s41598-022-07249-6</v>
      </c>
    </row>
    <row r="38" spans="1:8" x14ac:dyDescent="0.2">
      <c r="A38" t="str">
        <f t="shared" si="0"/>
        <v>1_WoS_37</v>
      </c>
      <c r="B38" t="s">
        <v>92</v>
      </c>
      <c r="C38" t="s">
        <v>43</v>
      </c>
      <c r="D38" t="s">
        <v>132</v>
      </c>
      <c r="E38" t="s">
        <v>174</v>
      </c>
      <c r="F38">
        <v>2022</v>
      </c>
      <c r="G38">
        <v>4</v>
      </c>
      <c r="H38" t="str">
        <f>HYPERLINK("http://dx.doi.org/10.1109/TCYB.2020.3022430","http://dx.doi.org/10.1109/TCYB.2020.3022430")</f>
        <v>http://dx.doi.org/10.1109/TCYB.2020.3022430</v>
      </c>
    </row>
    <row r="39" spans="1:8" x14ac:dyDescent="0.2">
      <c r="A39" t="str">
        <f t="shared" si="0"/>
        <v>1_WoS_38</v>
      </c>
      <c r="B39" t="s">
        <v>95</v>
      </c>
      <c r="C39" t="s">
        <v>46</v>
      </c>
      <c r="D39" t="s">
        <v>134</v>
      </c>
      <c r="E39" t="s">
        <v>177</v>
      </c>
      <c r="F39">
        <v>2021</v>
      </c>
      <c r="G39">
        <v>15</v>
      </c>
      <c r="H39" t="str">
        <f>HYPERLINK("http://dx.doi.org/10.1109/TMI.2020.3025608","http://dx.doi.org/10.1109/TMI.2020.3025608")</f>
        <v>http://dx.doi.org/10.1109/TMI.2020.3025608</v>
      </c>
    </row>
    <row r="40" spans="1:8" x14ac:dyDescent="0.2">
      <c r="A40" t="str">
        <f t="shared" si="0"/>
        <v>1_WoS_39</v>
      </c>
      <c r="B40" t="s">
        <v>89</v>
      </c>
      <c r="C40" t="s">
        <v>40</v>
      </c>
      <c r="D40" t="s">
        <v>129</v>
      </c>
      <c r="E40" t="s">
        <v>171</v>
      </c>
      <c r="F40">
        <v>2020</v>
      </c>
      <c r="G40">
        <v>10</v>
      </c>
      <c r="H40" t="str">
        <f>HYPERLINK("http://dx.doi.org/10.1007/s00024-018-2070-z","http://dx.doi.org/10.1007/s00024-018-2070-z")</f>
        <v>http://dx.doi.org/10.1007/s00024-018-2070-z</v>
      </c>
    </row>
    <row r="41" spans="1:8" x14ac:dyDescent="0.2">
      <c r="A41" t="str">
        <f t="shared" si="0"/>
        <v>1_WoS_40</v>
      </c>
      <c r="B41" t="s">
        <v>98</v>
      </c>
      <c r="C41" t="s">
        <v>48</v>
      </c>
      <c r="D41" t="s">
        <v>135</v>
      </c>
      <c r="E41" t="s">
        <v>179</v>
      </c>
      <c r="F41">
        <v>2024</v>
      </c>
      <c r="G41">
        <v>0</v>
      </c>
      <c r="H41" t="str">
        <f>HYPERLINK("http://dx.doi.org/10.1049/itr2.12554","http://dx.doi.org/10.1049/itr2.12554")</f>
        <v>http://dx.doi.org/10.1049/itr2.12554</v>
      </c>
    </row>
    <row r="42" spans="1:8" x14ac:dyDescent="0.2">
      <c r="A42" t="str">
        <f t="shared" si="0"/>
        <v>1_WoS_41</v>
      </c>
      <c r="B42" t="s">
        <v>93</v>
      </c>
      <c r="C42" t="s">
        <v>44</v>
      </c>
      <c r="D42" t="s">
        <v>104</v>
      </c>
      <c r="E42" t="s">
        <v>175</v>
      </c>
      <c r="F42">
        <v>2021</v>
      </c>
      <c r="G42">
        <v>10</v>
      </c>
      <c r="H42" t="str">
        <f>HYPERLINK("http://dx.doi.org/10.1145/3448016.3452803","http://dx.doi.org/10.1145/3448016.3452803")</f>
        <v>http://dx.doi.org/10.1145/3448016.3452803</v>
      </c>
    </row>
    <row r="43" spans="1:8" x14ac:dyDescent="0.2">
      <c r="A43" t="str">
        <f t="shared" si="0"/>
        <v>1_WoS_42</v>
      </c>
      <c r="B43" t="s">
        <v>97</v>
      </c>
      <c r="C43" t="s">
        <v>47</v>
      </c>
      <c r="D43" t="s">
        <v>104</v>
      </c>
      <c r="E43" t="s">
        <v>178</v>
      </c>
      <c r="F43">
        <v>2024</v>
      </c>
      <c r="G43">
        <v>0</v>
      </c>
      <c r="H43" t="str">
        <f>HYPERLINK("http://dx.doi.org/10.1371/journal.pone.0298651","http://dx.doi.org/10.1371/journal.pone.0298651")</f>
        <v>http://dx.doi.org/10.1371/journal.pone.0298651</v>
      </c>
    </row>
    <row r="44" spans="1:8" x14ac:dyDescent="0.2">
      <c r="A44" t="str">
        <f t="shared" si="0"/>
        <v>1_WoS_43</v>
      </c>
      <c r="B44" t="s">
        <v>100</v>
      </c>
      <c r="C44" t="s">
        <v>49</v>
      </c>
      <c r="D44" t="s">
        <v>136</v>
      </c>
      <c r="E44" t="s">
        <v>180</v>
      </c>
      <c r="F44">
        <v>2023</v>
      </c>
      <c r="G44">
        <v>0</v>
      </c>
      <c r="H44" t="str">
        <f>HYPERLINK("http://dx.doi.org/10.1093/gji/ggad301","http://dx.doi.org/10.1093/gji/ggad301")</f>
        <v>http://dx.doi.org/10.1093/gji/ggad301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3150-B78F-44EA-A632-B46514BD542A}">
  <dimension ref="A1:H3"/>
  <sheetViews>
    <sheetView workbookViewId="0">
      <selection sqref="A1:H3"/>
    </sheetView>
  </sheetViews>
  <sheetFormatPr baseColWidth="10" defaultColWidth="8.83203125" defaultRowHeight="15" x14ac:dyDescent="0.2"/>
  <cols>
    <col min="2" max="2" width="60.6640625" customWidth="1"/>
    <col min="3" max="3" width="17.5" customWidth="1"/>
    <col min="4" max="4" width="20.5" customWidth="1"/>
    <col min="5" max="5" width="49.5" customWidth="1"/>
    <col min="6" max="6" width="19.1640625" customWidth="1"/>
    <col min="7" max="7" width="20" customWidth="1"/>
    <col min="8" max="8" width="44.33203125" customWidth="1"/>
  </cols>
  <sheetData>
    <row r="1" spans="1:8" x14ac:dyDescent="0.2">
      <c r="A1" s="9" t="s">
        <v>184</v>
      </c>
      <c r="B1" s="10" t="s">
        <v>50</v>
      </c>
      <c r="C1" s="10" t="s">
        <v>8</v>
      </c>
      <c r="D1" s="10" t="s">
        <v>101</v>
      </c>
      <c r="E1" s="10" t="s">
        <v>137</v>
      </c>
      <c r="F1" s="11" t="s">
        <v>181</v>
      </c>
      <c r="G1" s="11" t="s">
        <v>183</v>
      </c>
      <c r="H1" s="12" t="s">
        <v>272</v>
      </c>
    </row>
    <row r="2" spans="1:8" x14ac:dyDescent="0.2">
      <c r="A2" t="str">
        <f>"2_ACM_" &amp; ROW()-1</f>
        <v>2_ACM_1</v>
      </c>
      <c r="B2" t="s">
        <v>291</v>
      </c>
      <c r="C2" t="s">
        <v>788</v>
      </c>
      <c r="D2" s="13" t="s">
        <v>203</v>
      </c>
      <c r="E2" t="s">
        <v>789</v>
      </c>
      <c r="F2">
        <v>2022</v>
      </c>
      <c r="G2">
        <v>1</v>
      </c>
      <c r="H2" s="25" t="s">
        <v>790</v>
      </c>
    </row>
    <row r="3" spans="1:8" x14ac:dyDescent="0.2">
      <c r="A3" t="str">
        <f>"2_ACM_" &amp; ROW()-1</f>
        <v>2_ACM_2</v>
      </c>
      <c r="B3" t="s">
        <v>791</v>
      </c>
      <c r="C3" s="26" t="s">
        <v>792</v>
      </c>
      <c r="D3" s="13" t="s">
        <v>203</v>
      </c>
      <c r="E3" s="26" t="s">
        <v>793</v>
      </c>
      <c r="F3" s="26">
        <v>2020</v>
      </c>
      <c r="G3">
        <v>29</v>
      </c>
      <c r="H3" s="27" t="s">
        <v>794</v>
      </c>
    </row>
  </sheetData>
  <hyperlinks>
    <hyperlink ref="H2" r:id="rId1" xr:uid="{18444B76-105A-4FA7-9536-7E027D9E16FB}"/>
    <hyperlink ref="H3" r:id="rId2" xr:uid="{863F45A7-40B4-4386-B62B-16C1B4F69E1E}"/>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3073-7774-4FBC-8149-634ACB90C819}">
  <dimension ref="A1:H8"/>
  <sheetViews>
    <sheetView workbookViewId="0">
      <selection activeCell="A2" sqref="A2:H8"/>
    </sheetView>
  </sheetViews>
  <sheetFormatPr baseColWidth="10" defaultColWidth="8.83203125" defaultRowHeight="15" x14ac:dyDescent="0.2"/>
  <cols>
    <col min="2" max="2" width="46.5" customWidth="1"/>
    <col min="3" max="3" width="20.6640625" customWidth="1"/>
    <col min="4" max="4" width="19.83203125" customWidth="1"/>
    <col min="5" max="5" width="103.33203125" customWidth="1"/>
    <col min="6" max="6" width="18.6640625" customWidth="1"/>
    <col min="7" max="7" width="19.5" customWidth="1"/>
    <col min="8" max="8" width="31" customWidth="1"/>
  </cols>
  <sheetData>
    <row r="1" spans="1:8" x14ac:dyDescent="0.2">
      <c r="A1" s="9" t="s">
        <v>184</v>
      </c>
      <c r="B1" s="10" t="s">
        <v>50</v>
      </c>
      <c r="C1" s="10" t="s">
        <v>8</v>
      </c>
      <c r="D1" s="10" t="s">
        <v>101</v>
      </c>
      <c r="E1" s="10" t="s">
        <v>137</v>
      </c>
      <c r="F1" s="11" t="s">
        <v>181</v>
      </c>
      <c r="G1" s="11" t="s">
        <v>183</v>
      </c>
      <c r="H1" s="12" t="s">
        <v>272</v>
      </c>
    </row>
    <row r="2" spans="1:8" x14ac:dyDescent="0.2">
      <c r="A2" t="str">
        <f t="shared" ref="A2:A8" si="0">"2_IEEE_" &amp; ROW()-1</f>
        <v>2_IEEE_1</v>
      </c>
      <c r="B2" t="s">
        <v>825</v>
      </c>
      <c r="C2" t="s">
        <v>828</v>
      </c>
      <c r="D2" t="s">
        <v>843</v>
      </c>
      <c r="E2" t="s">
        <v>834</v>
      </c>
      <c r="F2">
        <v>2020</v>
      </c>
      <c r="G2">
        <v>1</v>
      </c>
      <c r="H2" t="s">
        <v>837</v>
      </c>
    </row>
    <row r="3" spans="1:8" x14ac:dyDescent="0.2">
      <c r="A3" t="str">
        <f t="shared" si="0"/>
        <v>2_IEEE_2</v>
      </c>
      <c r="B3" t="s">
        <v>826</v>
      </c>
      <c r="C3" t="s">
        <v>829</v>
      </c>
      <c r="D3" t="s">
        <v>104</v>
      </c>
      <c r="E3" t="s">
        <v>817</v>
      </c>
      <c r="F3">
        <v>2023</v>
      </c>
      <c r="H3" t="s">
        <v>838</v>
      </c>
    </row>
    <row r="4" spans="1:8" x14ac:dyDescent="0.2">
      <c r="A4" t="str">
        <f t="shared" si="0"/>
        <v>2_IEEE_3</v>
      </c>
      <c r="B4" t="s">
        <v>807</v>
      </c>
      <c r="C4" t="s">
        <v>830</v>
      </c>
      <c r="D4" t="s">
        <v>844</v>
      </c>
      <c r="E4" t="s">
        <v>821</v>
      </c>
      <c r="F4">
        <v>2022</v>
      </c>
      <c r="G4">
        <v>24</v>
      </c>
      <c r="H4" t="s">
        <v>839</v>
      </c>
    </row>
    <row r="5" spans="1:8" x14ac:dyDescent="0.2">
      <c r="A5" t="str">
        <f t="shared" si="0"/>
        <v>2_IEEE_4</v>
      </c>
      <c r="B5" t="s">
        <v>62</v>
      </c>
      <c r="C5" t="s">
        <v>629</v>
      </c>
      <c r="D5" t="s">
        <v>252</v>
      </c>
      <c r="E5" t="s">
        <v>147</v>
      </c>
      <c r="F5">
        <v>2022</v>
      </c>
      <c r="H5" t="s">
        <v>224</v>
      </c>
    </row>
    <row r="6" spans="1:8" x14ac:dyDescent="0.2">
      <c r="A6" t="str">
        <f t="shared" si="0"/>
        <v>2_IEEE_5</v>
      </c>
      <c r="B6" t="s">
        <v>827</v>
      </c>
      <c r="C6" t="s">
        <v>831</v>
      </c>
      <c r="D6" t="s">
        <v>845</v>
      </c>
      <c r="E6" t="s">
        <v>835</v>
      </c>
      <c r="F6">
        <v>2024</v>
      </c>
      <c r="H6" t="s">
        <v>840</v>
      </c>
    </row>
    <row r="7" spans="1:8" x14ac:dyDescent="0.2">
      <c r="A7" t="str">
        <f t="shared" si="0"/>
        <v>2_IEEE_6</v>
      </c>
      <c r="B7" t="s">
        <v>806</v>
      </c>
      <c r="C7" t="s">
        <v>832</v>
      </c>
      <c r="D7" t="s">
        <v>846</v>
      </c>
      <c r="E7" t="s">
        <v>836</v>
      </c>
      <c r="F7">
        <v>2020</v>
      </c>
      <c r="G7">
        <v>20</v>
      </c>
      <c r="H7" t="s">
        <v>841</v>
      </c>
    </row>
    <row r="8" spans="1:8" x14ac:dyDescent="0.2">
      <c r="A8" t="str">
        <f t="shared" si="0"/>
        <v>2_IEEE_7</v>
      </c>
      <c r="B8" t="s">
        <v>808</v>
      </c>
      <c r="C8" t="s">
        <v>833</v>
      </c>
      <c r="D8" t="s">
        <v>847</v>
      </c>
      <c r="E8" t="s">
        <v>822</v>
      </c>
      <c r="F8">
        <v>2021</v>
      </c>
      <c r="G8">
        <v>4</v>
      </c>
      <c r="H8" t="s">
        <v>842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4B0E-49E7-472B-A61F-9907B2D2D180}">
  <dimension ref="A1:H30"/>
  <sheetViews>
    <sheetView workbookViewId="0">
      <selection activeCell="A2" sqref="A2:H30"/>
    </sheetView>
  </sheetViews>
  <sheetFormatPr baseColWidth="10" defaultColWidth="8.83203125" defaultRowHeight="15" x14ac:dyDescent="0.2"/>
  <cols>
    <col min="1" max="1" width="14" customWidth="1"/>
    <col min="2" max="2" width="75.83203125" customWidth="1"/>
    <col min="3" max="3" width="25.6640625" customWidth="1"/>
    <col min="4" max="4" width="25.83203125" customWidth="1"/>
    <col min="5" max="5" width="75" customWidth="1"/>
    <col min="6" max="6" width="23.83203125" customWidth="1"/>
    <col min="7" max="7" width="19.83203125" customWidth="1"/>
    <col min="8" max="8" width="47.33203125" customWidth="1"/>
  </cols>
  <sheetData>
    <row r="1" spans="1:8" x14ac:dyDescent="0.2">
      <c r="A1" s="9" t="s">
        <v>184</v>
      </c>
      <c r="B1" s="10" t="s">
        <v>50</v>
      </c>
      <c r="C1" s="10" t="s">
        <v>8</v>
      </c>
      <c r="D1" s="10" t="s">
        <v>101</v>
      </c>
      <c r="E1" s="10" t="s">
        <v>137</v>
      </c>
      <c r="F1" s="11" t="s">
        <v>181</v>
      </c>
      <c r="G1" s="11" t="s">
        <v>183</v>
      </c>
      <c r="H1" s="12" t="s">
        <v>272</v>
      </c>
    </row>
    <row r="2" spans="1:8" x14ac:dyDescent="0.2">
      <c r="A2" t="str">
        <f t="shared" ref="A2:A30" si="0">"Scopus_" &amp; ROW()-1</f>
        <v>Scopus_1</v>
      </c>
      <c r="B2" t="s">
        <v>804</v>
      </c>
      <c r="C2" t="s">
        <v>848</v>
      </c>
      <c r="D2" t="s">
        <v>917</v>
      </c>
      <c r="E2" t="s">
        <v>898</v>
      </c>
      <c r="F2">
        <v>2021</v>
      </c>
      <c r="G2">
        <v>5</v>
      </c>
      <c r="H2" t="s">
        <v>879</v>
      </c>
    </row>
    <row r="3" spans="1:8" x14ac:dyDescent="0.2">
      <c r="A3" t="str">
        <f t="shared" si="0"/>
        <v>Scopus_2</v>
      </c>
      <c r="B3" t="s">
        <v>282</v>
      </c>
      <c r="C3" t="s">
        <v>104</v>
      </c>
      <c r="D3" t="s">
        <v>104</v>
      </c>
      <c r="E3" t="s">
        <v>432</v>
      </c>
      <c r="F3">
        <v>2023</v>
      </c>
      <c r="G3">
        <v>0</v>
      </c>
      <c r="H3" t="s">
        <v>342</v>
      </c>
    </row>
    <row r="4" spans="1:8" x14ac:dyDescent="0.2">
      <c r="A4" t="str">
        <f t="shared" si="0"/>
        <v>Scopus_3</v>
      </c>
      <c r="B4" t="s">
        <v>79</v>
      </c>
      <c r="C4" t="s">
        <v>849</v>
      </c>
      <c r="D4" t="s">
        <v>104</v>
      </c>
      <c r="E4" t="s">
        <v>899</v>
      </c>
      <c r="F4">
        <v>2020</v>
      </c>
      <c r="G4">
        <v>5</v>
      </c>
      <c r="H4" t="s">
        <v>880</v>
      </c>
    </row>
    <row r="5" spans="1:8" x14ac:dyDescent="0.2">
      <c r="A5" t="str">
        <f t="shared" si="0"/>
        <v>Scopus_4</v>
      </c>
      <c r="B5" t="s">
        <v>867</v>
      </c>
      <c r="C5" t="s">
        <v>850</v>
      </c>
      <c r="D5" t="s">
        <v>918</v>
      </c>
      <c r="E5" t="s">
        <v>900</v>
      </c>
      <c r="F5">
        <v>2021</v>
      </c>
      <c r="G5">
        <v>2</v>
      </c>
      <c r="H5" t="s">
        <v>881</v>
      </c>
    </row>
    <row r="6" spans="1:8" x14ac:dyDescent="0.2">
      <c r="A6" t="str">
        <f t="shared" si="0"/>
        <v>Scopus_5</v>
      </c>
      <c r="B6" t="s">
        <v>62</v>
      </c>
      <c r="C6" t="s">
        <v>701</v>
      </c>
      <c r="D6" t="s">
        <v>525</v>
      </c>
      <c r="E6" t="s">
        <v>460</v>
      </c>
      <c r="F6">
        <v>2022</v>
      </c>
      <c r="G6">
        <v>0</v>
      </c>
      <c r="H6" t="s">
        <v>374</v>
      </c>
    </row>
    <row r="7" spans="1:8" x14ac:dyDescent="0.2">
      <c r="A7" t="str">
        <f t="shared" si="0"/>
        <v>Scopus_6</v>
      </c>
      <c r="B7" t="s">
        <v>807</v>
      </c>
      <c r="C7" t="s">
        <v>851</v>
      </c>
      <c r="D7" t="s">
        <v>919</v>
      </c>
      <c r="E7" t="s">
        <v>901</v>
      </c>
      <c r="F7">
        <v>2022</v>
      </c>
      <c r="G7">
        <v>37</v>
      </c>
      <c r="H7" t="s">
        <v>882</v>
      </c>
    </row>
    <row r="8" spans="1:8" x14ac:dyDescent="0.2">
      <c r="A8" t="str">
        <f t="shared" si="0"/>
        <v>Scopus_7</v>
      </c>
      <c r="B8" t="s">
        <v>868</v>
      </c>
      <c r="C8" t="s">
        <v>852</v>
      </c>
      <c r="D8" t="s">
        <v>104</v>
      </c>
      <c r="E8" t="s">
        <v>902</v>
      </c>
      <c r="F8">
        <v>2020</v>
      </c>
      <c r="G8">
        <v>2</v>
      </c>
      <c r="H8" t="s">
        <v>883</v>
      </c>
    </row>
    <row r="9" spans="1:8" x14ac:dyDescent="0.2">
      <c r="A9" t="str">
        <f t="shared" si="0"/>
        <v>Scopus_8</v>
      </c>
      <c r="B9" t="s">
        <v>869</v>
      </c>
      <c r="C9" t="s">
        <v>853</v>
      </c>
      <c r="D9" t="s">
        <v>920</v>
      </c>
      <c r="E9" t="s">
        <v>903</v>
      </c>
      <c r="F9">
        <v>2020</v>
      </c>
      <c r="G9">
        <v>2</v>
      </c>
      <c r="H9" t="s">
        <v>884</v>
      </c>
    </row>
    <row r="10" spans="1:8" x14ac:dyDescent="0.2">
      <c r="A10" t="str">
        <f t="shared" si="0"/>
        <v>Scopus_9</v>
      </c>
      <c r="B10" t="s">
        <v>76</v>
      </c>
      <c r="C10" t="s">
        <v>726</v>
      </c>
      <c r="D10" t="s">
        <v>549</v>
      </c>
      <c r="E10" t="s">
        <v>488</v>
      </c>
      <c r="F10">
        <v>2020</v>
      </c>
      <c r="G10">
        <v>13</v>
      </c>
      <c r="H10" t="s">
        <v>408</v>
      </c>
    </row>
    <row r="11" spans="1:8" x14ac:dyDescent="0.2">
      <c r="A11" t="str">
        <f t="shared" si="0"/>
        <v>Scopus_10</v>
      </c>
      <c r="B11" t="s">
        <v>870</v>
      </c>
      <c r="C11" t="s">
        <v>854</v>
      </c>
      <c r="D11" t="s">
        <v>921</v>
      </c>
      <c r="E11" t="s">
        <v>904</v>
      </c>
      <c r="F11">
        <v>2020</v>
      </c>
      <c r="G11">
        <v>24</v>
      </c>
      <c r="H11" t="s">
        <v>885</v>
      </c>
    </row>
    <row r="12" spans="1:8" x14ac:dyDescent="0.2">
      <c r="A12" t="str">
        <f t="shared" si="0"/>
        <v>Scopus_11</v>
      </c>
      <c r="B12" t="s">
        <v>809</v>
      </c>
      <c r="C12" t="s">
        <v>855</v>
      </c>
      <c r="D12" t="s">
        <v>922</v>
      </c>
      <c r="E12" t="s">
        <v>905</v>
      </c>
      <c r="F12">
        <v>2024</v>
      </c>
      <c r="G12">
        <v>0</v>
      </c>
      <c r="H12" t="s">
        <v>886</v>
      </c>
    </row>
    <row r="13" spans="1:8" x14ac:dyDescent="0.2">
      <c r="A13" t="str">
        <f t="shared" si="0"/>
        <v>Scopus_12</v>
      </c>
      <c r="B13" t="s">
        <v>805</v>
      </c>
      <c r="C13" t="s">
        <v>856</v>
      </c>
      <c r="D13" t="s">
        <v>923</v>
      </c>
      <c r="E13" t="s">
        <v>906</v>
      </c>
      <c r="F13">
        <v>2021</v>
      </c>
      <c r="G13">
        <v>2</v>
      </c>
      <c r="H13" t="s">
        <v>887</v>
      </c>
    </row>
    <row r="14" spans="1:8" x14ac:dyDescent="0.2">
      <c r="A14" t="str">
        <f t="shared" si="0"/>
        <v>Scopus_13</v>
      </c>
      <c r="B14" t="s">
        <v>871</v>
      </c>
      <c r="C14" t="s">
        <v>857</v>
      </c>
      <c r="D14" t="s">
        <v>924</v>
      </c>
      <c r="E14" t="s">
        <v>907</v>
      </c>
      <c r="F14">
        <v>2024</v>
      </c>
      <c r="G14">
        <v>0</v>
      </c>
      <c r="H14" t="s">
        <v>888</v>
      </c>
    </row>
    <row r="15" spans="1:8" x14ac:dyDescent="0.2">
      <c r="A15" t="str">
        <f t="shared" si="0"/>
        <v>Scopus_14</v>
      </c>
      <c r="B15" t="s">
        <v>872</v>
      </c>
      <c r="C15" t="s">
        <v>858</v>
      </c>
      <c r="D15" t="s">
        <v>925</v>
      </c>
      <c r="E15" t="s">
        <v>908</v>
      </c>
      <c r="F15">
        <v>2020</v>
      </c>
      <c r="G15">
        <v>37</v>
      </c>
      <c r="H15" t="s">
        <v>889</v>
      </c>
    </row>
    <row r="16" spans="1:8" x14ac:dyDescent="0.2">
      <c r="A16" t="str">
        <f t="shared" si="0"/>
        <v>Scopus_15</v>
      </c>
      <c r="B16" t="s">
        <v>873</v>
      </c>
      <c r="C16" t="s">
        <v>859</v>
      </c>
      <c r="D16" t="s">
        <v>926</v>
      </c>
      <c r="E16" t="s">
        <v>909</v>
      </c>
      <c r="F16">
        <v>2021</v>
      </c>
      <c r="G16">
        <v>4</v>
      </c>
      <c r="H16" t="s">
        <v>890</v>
      </c>
    </row>
    <row r="17" spans="1:8" x14ac:dyDescent="0.2">
      <c r="A17" t="str">
        <f t="shared" si="0"/>
        <v>Scopus_16</v>
      </c>
      <c r="B17" t="s">
        <v>291</v>
      </c>
      <c r="C17" t="s">
        <v>689</v>
      </c>
      <c r="D17" t="s">
        <v>516</v>
      </c>
      <c r="E17" t="s">
        <v>739</v>
      </c>
      <c r="F17">
        <v>2022</v>
      </c>
      <c r="G17">
        <v>1</v>
      </c>
      <c r="H17" t="s">
        <v>360</v>
      </c>
    </row>
    <row r="18" spans="1:8" x14ac:dyDescent="0.2">
      <c r="A18" t="str">
        <f t="shared" si="0"/>
        <v>Scopus_17</v>
      </c>
      <c r="B18" t="s">
        <v>874</v>
      </c>
      <c r="C18" t="s">
        <v>860</v>
      </c>
      <c r="D18" t="s">
        <v>927</v>
      </c>
      <c r="E18" t="s">
        <v>910</v>
      </c>
      <c r="F18">
        <v>2021</v>
      </c>
      <c r="G18">
        <v>3</v>
      </c>
      <c r="H18" t="s">
        <v>891</v>
      </c>
    </row>
    <row r="19" spans="1:8" x14ac:dyDescent="0.2">
      <c r="A19" t="str">
        <f t="shared" si="0"/>
        <v>Scopus_18</v>
      </c>
      <c r="B19" t="s">
        <v>875</v>
      </c>
      <c r="C19" t="s">
        <v>861</v>
      </c>
      <c r="D19" t="s">
        <v>104</v>
      </c>
      <c r="E19" t="s">
        <v>911</v>
      </c>
      <c r="F19">
        <v>2020</v>
      </c>
      <c r="G19">
        <v>11</v>
      </c>
      <c r="H19" t="s">
        <v>892</v>
      </c>
    </row>
    <row r="20" spans="1:8" x14ac:dyDescent="0.2">
      <c r="A20" t="str">
        <f t="shared" si="0"/>
        <v>Scopus_19</v>
      </c>
      <c r="B20" t="s">
        <v>826</v>
      </c>
      <c r="C20" t="s">
        <v>862</v>
      </c>
      <c r="D20" t="s">
        <v>104</v>
      </c>
      <c r="E20" t="s">
        <v>912</v>
      </c>
      <c r="F20">
        <v>2023</v>
      </c>
      <c r="G20">
        <v>1</v>
      </c>
      <c r="H20" t="s">
        <v>893</v>
      </c>
    </row>
    <row r="21" spans="1:8" x14ac:dyDescent="0.2">
      <c r="A21" t="str">
        <f t="shared" si="0"/>
        <v>Scopus_20</v>
      </c>
      <c r="B21" t="s">
        <v>54</v>
      </c>
      <c r="C21" t="s">
        <v>697</v>
      </c>
      <c r="D21" t="s">
        <v>104</v>
      </c>
      <c r="E21" t="s">
        <v>456</v>
      </c>
      <c r="F21">
        <v>2022</v>
      </c>
      <c r="G21">
        <v>2</v>
      </c>
      <c r="H21" t="s">
        <v>369</v>
      </c>
    </row>
    <row r="22" spans="1:8" x14ac:dyDescent="0.2">
      <c r="A22" t="str">
        <f t="shared" si="0"/>
        <v>Scopus_21</v>
      </c>
      <c r="B22" t="s">
        <v>876</v>
      </c>
      <c r="C22" t="s">
        <v>863</v>
      </c>
      <c r="D22" t="s">
        <v>928</v>
      </c>
      <c r="E22" t="s">
        <v>913</v>
      </c>
      <c r="F22">
        <v>2021</v>
      </c>
      <c r="G22">
        <v>2</v>
      </c>
      <c r="H22" t="s">
        <v>894</v>
      </c>
    </row>
    <row r="23" spans="1:8" x14ac:dyDescent="0.2">
      <c r="A23" t="str">
        <f t="shared" si="0"/>
        <v>Scopus_22</v>
      </c>
      <c r="B23" t="s">
        <v>296</v>
      </c>
      <c r="C23" t="s">
        <v>104</v>
      </c>
      <c r="D23" t="s">
        <v>104</v>
      </c>
      <c r="E23" t="s">
        <v>741</v>
      </c>
      <c r="F23">
        <v>2022</v>
      </c>
      <c r="G23">
        <v>0</v>
      </c>
      <c r="H23" t="s">
        <v>372</v>
      </c>
    </row>
    <row r="24" spans="1:8" x14ac:dyDescent="0.2">
      <c r="A24" t="str">
        <f t="shared" si="0"/>
        <v>Scopus_23</v>
      </c>
      <c r="B24" t="s">
        <v>94</v>
      </c>
      <c r="C24" t="s">
        <v>696</v>
      </c>
      <c r="D24" t="s">
        <v>521</v>
      </c>
      <c r="E24" t="s">
        <v>455</v>
      </c>
      <c r="F24">
        <v>2022</v>
      </c>
      <c r="G24">
        <v>6</v>
      </c>
      <c r="H24" t="s">
        <v>368</v>
      </c>
    </row>
    <row r="25" spans="1:8" x14ac:dyDescent="0.2">
      <c r="A25" t="str">
        <f t="shared" si="0"/>
        <v>Scopus_24</v>
      </c>
      <c r="B25" t="s">
        <v>877</v>
      </c>
      <c r="C25" t="s">
        <v>864</v>
      </c>
      <c r="D25" t="s">
        <v>929</v>
      </c>
      <c r="E25" t="s">
        <v>914</v>
      </c>
      <c r="F25">
        <v>2020</v>
      </c>
      <c r="G25">
        <v>0</v>
      </c>
      <c r="H25" t="s">
        <v>895</v>
      </c>
    </row>
    <row r="26" spans="1:8" x14ac:dyDescent="0.2">
      <c r="A26" t="str">
        <f t="shared" si="0"/>
        <v>Scopus_25</v>
      </c>
      <c r="B26" t="s">
        <v>65</v>
      </c>
      <c r="C26" t="s">
        <v>687</v>
      </c>
      <c r="D26" t="s">
        <v>514</v>
      </c>
      <c r="E26" t="s">
        <v>446</v>
      </c>
      <c r="F26">
        <v>2023</v>
      </c>
      <c r="G26">
        <v>3</v>
      </c>
      <c r="H26" t="s">
        <v>357</v>
      </c>
    </row>
    <row r="27" spans="1:8" x14ac:dyDescent="0.2">
      <c r="A27" t="str">
        <f t="shared" si="0"/>
        <v>Scopus_26</v>
      </c>
      <c r="B27" t="s">
        <v>273</v>
      </c>
      <c r="C27" t="s">
        <v>656</v>
      </c>
      <c r="D27" t="s">
        <v>491</v>
      </c>
      <c r="E27" t="s">
        <v>414</v>
      </c>
      <c r="F27">
        <v>2024</v>
      </c>
      <c r="G27">
        <v>0</v>
      </c>
      <c r="H27" t="s">
        <v>322</v>
      </c>
    </row>
    <row r="28" spans="1:8" x14ac:dyDescent="0.2">
      <c r="A28" t="str">
        <f t="shared" si="0"/>
        <v>Scopus_27</v>
      </c>
      <c r="B28" t="s">
        <v>289</v>
      </c>
      <c r="C28" t="s">
        <v>104</v>
      </c>
      <c r="D28" t="s">
        <v>104</v>
      </c>
      <c r="E28" t="s">
        <v>447</v>
      </c>
      <c r="F28">
        <v>2023</v>
      </c>
      <c r="G28">
        <v>0</v>
      </c>
      <c r="H28" t="s">
        <v>358</v>
      </c>
    </row>
    <row r="29" spans="1:8" x14ac:dyDescent="0.2">
      <c r="A29" t="str">
        <f t="shared" si="0"/>
        <v>Scopus_28</v>
      </c>
      <c r="B29" t="s">
        <v>878</v>
      </c>
      <c r="C29" t="s">
        <v>865</v>
      </c>
      <c r="D29" t="s">
        <v>930</v>
      </c>
      <c r="E29" t="s">
        <v>915</v>
      </c>
      <c r="F29">
        <v>2024</v>
      </c>
      <c r="G29">
        <v>0</v>
      </c>
      <c r="H29" t="s">
        <v>896</v>
      </c>
    </row>
    <row r="30" spans="1:8" x14ac:dyDescent="0.2">
      <c r="A30" t="str">
        <f t="shared" si="0"/>
        <v>Scopus_29</v>
      </c>
      <c r="B30" t="s">
        <v>827</v>
      </c>
      <c r="C30" t="s">
        <v>866</v>
      </c>
      <c r="D30" t="s">
        <v>931</v>
      </c>
      <c r="E30" t="s">
        <v>916</v>
      </c>
      <c r="F30">
        <v>2024</v>
      </c>
      <c r="G30">
        <v>0</v>
      </c>
      <c r="H30" t="s">
        <v>897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9479-CCE2-4F2C-827C-ED5B12A08D8A}">
  <dimension ref="A1:H10"/>
  <sheetViews>
    <sheetView workbookViewId="0">
      <selection activeCell="A2" sqref="A2"/>
    </sheetView>
  </sheetViews>
  <sheetFormatPr baseColWidth="10" defaultColWidth="8.83203125" defaultRowHeight="15" x14ac:dyDescent="0.2"/>
  <cols>
    <col min="1" max="1" width="11.33203125" customWidth="1"/>
    <col min="2" max="2" width="73.5" customWidth="1"/>
    <col min="3" max="3" width="24.5" customWidth="1"/>
    <col min="4" max="4" width="29.6640625" customWidth="1"/>
    <col min="5" max="5" width="60.33203125" style="7" customWidth="1"/>
    <col min="6" max="6" width="15.1640625" style="7" customWidth="1"/>
    <col min="7" max="7" width="14.1640625" customWidth="1"/>
    <col min="8" max="8" width="49.1640625" customWidth="1"/>
  </cols>
  <sheetData>
    <row r="1" spans="1:8" x14ac:dyDescent="0.2">
      <c r="A1" t="s">
        <v>184</v>
      </c>
      <c r="B1" t="s">
        <v>50</v>
      </c>
      <c r="C1" t="s">
        <v>8</v>
      </c>
      <c r="D1" t="s">
        <v>101</v>
      </c>
      <c r="E1" t="s">
        <v>137</v>
      </c>
      <c r="F1" s="8" t="s">
        <v>181</v>
      </c>
      <c r="G1" s="8" t="s">
        <v>183</v>
      </c>
      <c r="H1" t="s">
        <v>272</v>
      </c>
    </row>
    <row r="2" spans="1:8" x14ac:dyDescent="0.2">
      <c r="A2" t="str">
        <f t="shared" ref="A2:A10" si="0">"2_WoS_" &amp; ROW()-1</f>
        <v>2_WoS_1</v>
      </c>
      <c r="B2" t="s">
        <v>803</v>
      </c>
      <c r="C2" t="s">
        <v>795</v>
      </c>
      <c r="D2" s="7" t="s">
        <v>104</v>
      </c>
      <c r="E2" s="7" t="s">
        <v>817</v>
      </c>
      <c r="F2">
        <v>2023</v>
      </c>
      <c r="G2">
        <v>1</v>
      </c>
      <c r="H2" t="str">
        <f>HYPERLINK("http://dx.doi.org/10.1109/ITSC57777.2023.10422077","http://dx.doi.org/10.1109/ITSC57777.2023.10422077")</f>
        <v>http://dx.doi.org/10.1109/ITSC57777.2023.10422077</v>
      </c>
    </row>
    <row r="3" spans="1:8" x14ac:dyDescent="0.2">
      <c r="A3" t="str">
        <f t="shared" si="0"/>
        <v>2_WoS_2</v>
      </c>
      <c r="B3" t="s">
        <v>804</v>
      </c>
      <c r="C3" t="s">
        <v>796</v>
      </c>
      <c r="D3" s="7" t="s">
        <v>810</v>
      </c>
      <c r="E3" s="7" t="s">
        <v>818</v>
      </c>
      <c r="F3">
        <v>2021</v>
      </c>
      <c r="G3">
        <v>5</v>
      </c>
      <c r="H3" t="str">
        <f>HYPERLINK("http://dx.doi.org/10.1016/j.cnsns.2021.105772","http://dx.doi.org/10.1016/j.cnsns.2021.105772")</f>
        <v>http://dx.doi.org/10.1016/j.cnsns.2021.105772</v>
      </c>
    </row>
    <row r="4" spans="1:8" x14ac:dyDescent="0.2">
      <c r="A4" t="str">
        <f t="shared" si="0"/>
        <v>2_WoS_3</v>
      </c>
      <c r="B4" t="s">
        <v>805</v>
      </c>
      <c r="C4" t="s">
        <v>797</v>
      </c>
      <c r="D4" s="7" t="s">
        <v>811</v>
      </c>
      <c r="E4" s="7" t="s">
        <v>819</v>
      </c>
      <c r="F4">
        <v>2021</v>
      </c>
      <c r="G4">
        <v>1</v>
      </c>
      <c r="H4" t="str">
        <f>HYPERLINK("http://dx.doi.org/10.1016/j.ic.2021.104773","http://dx.doi.org/10.1016/j.ic.2021.104773")</f>
        <v>http://dx.doi.org/10.1016/j.ic.2021.104773</v>
      </c>
    </row>
    <row r="5" spans="1:8" x14ac:dyDescent="0.2">
      <c r="A5" t="str">
        <f t="shared" si="0"/>
        <v>2_WoS_4</v>
      </c>
      <c r="B5" t="s">
        <v>62</v>
      </c>
      <c r="C5" t="s">
        <v>18</v>
      </c>
      <c r="D5" s="7" t="s">
        <v>111</v>
      </c>
      <c r="E5" s="7" t="s">
        <v>147</v>
      </c>
      <c r="F5">
        <v>2022</v>
      </c>
      <c r="G5">
        <v>0</v>
      </c>
      <c r="H5" t="s">
        <v>104</v>
      </c>
    </row>
    <row r="6" spans="1:8" x14ac:dyDescent="0.2">
      <c r="A6" t="str">
        <f t="shared" si="0"/>
        <v>2_WoS_5</v>
      </c>
      <c r="B6" t="s">
        <v>806</v>
      </c>
      <c r="C6" t="s">
        <v>798</v>
      </c>
      <c r="D6" s="7" t="s">
        <v>812</v>
      </c>
      <c r="E6" s="7" t="s">
        <v>820</v>
      </c>
      <c r="F6">
        <v>2020</v>
      </c>
      <c r="G6">
        <v>22</v>
      </c>
      <c r="H6" t="str">
        <f>HYPERLINK("http://dx.doi.org/10.1109/ACCESS.2020.2978506","http://dx.doi.org/10.1109/ACCESS.2020.2978506")</f>
        <v>http://dx.doi.org/10.1109/ACCESS.2020.2978506</v>
      </c>
    </row>
    <row r="7" spans="1:8" x14ac:dyDescent="0.2">
      <c r="A7" t="str">
        <f t="shared" si="0"/>
        <v>2_WoS_6</v>
      </c>
      <c r="B7" t="s">
        <v>807</v>
      </c>
      <c r="C7" t="s">
        <v>799</v>
      </c>
      <c r="D7" s="7" t="s">
        <v>813</v>
      </c>
      <c r="E7" s="7" t="s">
        <v>821</v>
      </c>
      <c r="F7">
        <v>2022</v>
      </c>
      <c r="G7">
        <v>37</v>
      </c>
      <c r="H7" t="str">
        <f>HYPERLINK("http://dx.doi.org/10.1109/TNNLS.2021.3084957","http://dx.doi.org/10.1109/TNNLS.2021.3084957")</f>
        <v>http://dx.doi.org/10.1109/TNNLS.2021.3084957</v>
      </c>
    </row>
    <row r="8" spans="1:8" x14ac:dyDescent="0.2">
      <c r="A8" t="str">
        <f t="shared" si="0"/>
        <v>2_WoS_7</v>
      </c>
      <c r="B8" t="s">
        <v>808</v>
      </c>
      <c r="C8" t="s">
        <v>800</v>
      </c>
      <c r="D8" s="7" t="s">
        <v>814</v>
      </c>
      <c r="E8" s="7" t="s">
        <v>822</v>
      </c>
      <c r="F8">
        <v>2021</v>
      </c>
      <c r="G8">
        <v>3</v>
      </c>
      <c r="H8" t="str">
        <f>HYPERLINK("http://dx.doi.org/10.1109/TNNLS.2020.3008445","http://dx.doi.org/10.1109/TNNLS.2020.3008445")</f>
        <v>http://dx.doi.org/10.1109/TNNLS.2020.3008445</v>
      </c>
    </row>
    <row r="9" spans="1:8" x14ac:dyDescent="0.2">
      <c r="A9" t="str">
        <f t="shared" si="0"/>
        <v>2_WoS_8</v>
      </c>
      <c r="B9" t="s">
        <v>809</v>
      </c>
      <c r="C9" t="s">
        <v>801</v>
      </c>
      <c r="D9" s="7" t="s">
        <v>815</v>
      </c>
      <c r="E9" s="7" t="s">
        <v>823</v>
      </c>
      <c r="F9">
        <v>2024</v>
      </c>
      <c r="G9">
        <v>0</v>
      </c>
      <c r="H9" t="str">
        <f>HYPERLINK("http://dx.doi.org/10.3390/rs16142564","http://dx.doi.org/10.3390/rs16142564")</f>
        <v>http://dx.doi.org/10.3390/rs16142564</v>
      </c>
    </row>
    <row r="10" spans="1:8" x14ac:dyDescent="0.2">
      <c r="A10" t="str">
        <f t="shared" si="0"/>
        <v>2_WoS_9</v>
      </c>
      <c r="B10" t="s">
        <v>791</v>
      </c>
      <c r="C10" t="s">
        <v>802</v>
      </c>
      <c r="D10" s="7" t="s">
        <v>816</v>
      </c>
      <c r="E10" s="7" t="s">
        <v>824</v>
      </c>
      <c r="F10">
        <v>2020</v>
      </c>
      <c r="G10">
        <v>35</v>
      </c>
      <c r="H10" t="str">
        <f>HYPERLINK("http://dx.doi.org/10.1145/3409262","http://dx.doi.org/10.1145/3409262")</f>
        <v>http://dx.doi.org/10.1145/3409262</v>
      </c>
    </row>
  </sheetData>
  <phoneticPr fontId="6"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B528-F413-48BF-93E3-864D7C24566F}">
  <dimension ref="A1:H4"/>
  <sheetViews>
    <sheetView workbookViewId="0">
      <selection activeCell="A4" sqref="A4:H4"/>
    </sheetView>
  </sheetViews>
  <sheetFormatPr baseColWidth="10" defaultColWidth="8.83203125" defaultRowHeight="15" x14ac:dyDescent="0.2"/>
  <cols>
    <col min="1" max="1" width="12.5" customWidth="1"/>
    <col min="2" max="2" width="30.33203125" customWidth="1"/>
    <col min="3" max="3" width="37.6640625" customWidth="1"/>
    <col min="4" max="4" width="18.6640625" customWidth="1"/>
    <col min="5" max="5" width="53.33203125" customWidth="1"/>
    <col min="6" max="6" width="25.6640625" customWidth="1"/>
    <col min="7" max="7" width="27.33203125" customWidth="1"/>
    <col min="8" max="8" width="40.6640625" customWidth="1"/>
  </cols>
  <sheetData>
    <row r="1" spans="1:8" x14ac:dyDescent="0.2">
      <c r="A1" s="28" t="s">
        <v>184</v>
      </c>
      <c r="B1" s="29" t="s">
        <v>50</v>
      </c>
      <c r="C1" s="29" t="s">
        <v>8</v>
      </c>
      <c r="D1" s="29" t="s">
        <v>101</v>
      </c>
      <c r="E1" s="29" t="s">
        <v>137</v>
      </c>
      <c r="F1" s="30" t="s">
        <v>181</v>
      </c>
      <c r="G1" s="30" t="s">
        <v>183</v>
      </c>
      <c r="H1" s="31" t="s">
        <v>272</v>
      </c>
    </row>
    <row r="2" spans="1:8" x14ac:dyDescent="0.2">
      <c r="A2" t="str">
        <f>"Forward_" &amp; ROW()-1</f>
        <v>Forward_1</v>
      </c>
      <c r="B2" t="s">
        <v>952</v>
      </c>
      <c r="C2" t="s">
        <v>953</v>
      </c>
      <c r="D2" s="13" t="s">
        <v>203</v>
      </c>
      <c r="E2" t="s">
        <v>954</v>
      </c>
      <c r="F2">
        <v>2020</v>
      </c>
      <c r="G2">
        <v>58</v>
      </c>
      <c r="H2" s="25" t="s">
        <v>955</v>
      </c>
    </row>
    <row r="3" spans="1:8" x14ac:dyDescent="0.2">
      <c r="A3" t="str">
        <f>"Forward_" &amp; ROW()-1</f>
        <v>Forward_2</v>
      </c>
      <c r="B3" t="s">
        <v>956</v>
      </c>
      <c r="C3" t="s">
        <v>957</v>
      </c>
      <c r="D3" s="13" t="s">
        <v>203</v>
      </c>
      <c r="E3" t="s">
        <v>958</v>
      </c>
      <c r="F3">
        <v>2021</v>
      </c>
      <c r="G3">
        <v>7</v>
      </c>
      <c r="H3" s="25" t="s">
        <v>959</v>
      </c>
    </row>
    <row r="4" spans="1:8" x14ac:dyDescent="0.2">
      <c r="A4" t="str">
        <f>"Forward_" &amp; ROW()-1</f>
        <v>Forward_3</v>
      </c>
      <c r="B4" t="s">
        <v>273</v>
      </c>
      <c r="C4" t="s">
        <v>964</v>
      </c>
      <c r="E4" t="s">
        <v>965</v>
      </c>
      <c r="F4">
        <v>2024</v>
      </c>
      <c r="H4" s="25" t="s">
        <v>966</v>
      </c>
    </row>
  </sheetData>
  <conditionalFormatting sqref="B4">
    <cfRule type="duplicateValues" dxfId="2" priority="1"/>
  </conditionalFormatting>
  <conditionalFormatting sqref="D4 B4">
    <cfRule type="duplicateValues" dxfId="1" priority="2"/>
  </conditionalFormatting>
  <hyperlinks>
    <hyperlink ref="H2" r:id="rId1" xr:uid="{ABDCF10E-458E-4BC6-B269-2A073AEA795C}"/>
    <hyperlink ref="H3" r:id="rId2" xr:uid="{F34C1A7C-1B4A-43AE-A5E9-BE36C88FEBB2}"/>
    <hyperlink ref="H4" r:id="rId3" xr:uid="{36D1EF1A-746F-4D66-85B3-F3D133F20478}"/>
  </hyperlinks>
  <pageMargins left="0.7" right="0.7" top="0.75" bottom="0.75" header="0.3" footer="0.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E9952-80CD-4929-B120-626C5A8516EE}">
  <dimension ref="A1:K4"/>
  <sheetViews>
    <sheetView workbookViewId="0">
      <selection activeCell="E11" sqref="E11"/>
    </sheetView>
  </sheetViews>
  <sheetFormatPr baseColWidth="10" defaultColWidth="8.83203125" defaultRowHeight="15" x14ac:dyDescent="0.2"/>
  <cols>
    <col min="1" max="1" width="11.33203125" customWidth="1"/>
    <col min="2" max="2" width="73.5" customWidth="1"/>
    <col min="3" max="3" width="24.5" customWidth="1"/>
    <col min="4" max="4" width="31" customWidth="1"/>
    <col min="5" max="5" width="57.6640625" customWidth="1"/>
  </cols>
  <sheetData>
    <row r="1" spans="1:11" x14ac:dyDescent="0.2">
      <c r="A1" t="s">
        <v>184</v>
      </c>
      <c r="B1" t="s">
        <v>50</v>
      </c>
      <c r="C1" t="s">
        <v>8</v>
      </c>
      <c r="D1" t="s">
        <v>272</v>
      </c>
      <c r="E1" t="s">
        <v>776</v>
      </c>
    </row>
    <row r="2" spans="1:11" x14ac:dyDescent="0.2">
      <c r="A2" t="s">
        <v>771</v>
      </c>
      <c r="B2" t="s">
        <v>772</v>
      </c>
      <c r="C2" t="s">
        <v>773</v>
      </c>
      <c r="E2" t="s">
        <v>777</v>
      </c>
    </row>
    <row r="3" spans="1:11" x14ac:dyDescent="0.2">
      <c r="A3" t="s">
        <v>775</v>
      </c>
      <c r="B3" t="s">
        <v>774</v>
      </c>
      <c r="C3" t="s">
        <v>778</v>
      </c>
      <c r="E3" t="s">
        <v>777</v>
      </c>
    </row>
    <row r="4" spans="1:11" x14ac:dyDescent="0.2">
      <c r="A4" s="17" t="s">
        <v>622</v>
      </c>
      <c r="B4" s="18" t="s">
        <v>273</v>
      </c>
      <c r="C4" s="18" t="s">
        <v>656</v>
      </c>
      <c r="D4" s="18" t="s">
        <v>491</v>
      </c>
      <c r="E4" t="s">
        <v>777</v>
      </c>
      <c r="F4" s="18"/>
      <c r="G4" s="18"/>
      <c r="H4" s="18"/>
      <c r="I4" s="18"/>
      <c r="J4" s="18"/>
      <c r="K4" s="19"/>
    </row>
  </sheetData>
  <conditionalFormatting sqref="B4">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C2A8D3-65FB-42C0-8BD5-E60A37318B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Overview</vt:lpstr>
      <vt:lpstr>Total</vt:lpstr>
      <vt:lpstr>1_ACM</vt:lpstr>
      <vt:lpstr>1_IEEE</vt:lpstr>
      <vt:lpstr>1_Scopus</vt:lpstr>
      <vt:lpstr>1_WoS</vt:lpstr>
      <vt:lpstr>2_ACM</vt:lpstr>
      <vt:lpstr>2_IEEE</vt:lpstr>
      <vt:lpstr>2_Scopus</vt:lpstr>
      <vt:lpstr>2_WoS</vt:lpstr>
      <vt:lpstr>Forward</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dc:creator>
  <cp:lastModifiedBy>Karst, Fabian</cp:lastModifiedBy>
  <dcterms:created xsi:type="dcterms:W3CDTF">2015-06-05T18:19:34Z</dcterms:created>
  <dcterms:modified xsi:type="dcterms:W3CDTF">2026-01-12T13:56:30Z</dcterms:modified>
</cp:coreProperties>
</file>