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fabian_karst_unisg_ch/Documents/03_PhD/Research/3_ArtificialDatabaseCombination/InformationSystemResearch2024/LiteratureReviews/SyntheticDataMetrics/"/>
    </mc:Choice>
  </mc:AlternateContent>
  <xr:revisionPtr revIDLastSave="203" documentId="8_{F2B5293E-022D-4BDE-849E-B6D4041C9643}" xr6:coauthVersionLast="47" xr6:coauthVersionMax="47" xr10:uidLastSave="{0851CCC2-2AE4-964C-9CEC-B91BEA6BB48D}"/>
  <bookViews>
    <workbookView xWindow="0" yWindow="760" windowWidth="30240" windowHeight="17820" activeTab="1" xr2:uid="{00000000-000D-0000-FFFF-FFFF00000000}"/>
  </bookViews>
  <sheets>
    <sheet name="overview" sheetId="4" r:id="rId1"/>
    <sheet name="metrics" sheetId="10" r:id="rId2"/>
    <sheet name="raw" sheetId="6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0" l="1"/>
  <c r="D7" i="4"/>
  <c r="C332" i="6"/>
  <c r="D3" i="4" l="1"/>
  <c r="D4" i="4"/>
  <c r="D6" i="4"/>
  <c r="D10" i="4"/>
</calcChain>
</file>

<file path=xl/sharedStrings.xml><?xml version="1.0" encoding="utf-8"?>
<sst xmlns="http://schemas.openxmlformats.org/spreadsheetml/2006/main" count="2541" uniqueCount="432">
  <si>
    <t>Metric</t>
  </si>
  <si>
    <t>Claw Count</t>
  </si>
  <si>
    <t>Wedge Count</t>
  </si>
  <si>
    <t>Graph</t>
  </si>
  <si>
    <t>Utility</t>
  </si>
  <si>
    <t>Dynamic Time Warping</t>
  </si>
  <si>
    <t>ZhouEtAl2020</t>
  </si>
  <si>
    <t>Density</t>
  </si>
  <si>
    <t>Transitivity</t>
  </si>
  <si>
    <t>ClarksonEtAl2022</t>
  </si>
  <si>
    <t>ZenoEtAl2021</t>
  </si>
  <si>
    <t>Privacy</t>
  </si>
  <si>
    <t>Peak Signal-To-Noise Ratio</t>
  </si>
  <si>
    <t>Structural Similarity Index Metric</t>
  </si>
  <si>
    <t>XuEtAl2022</t>
  </si>
  <si>
    <t>Image</t>
  </si>
  <si>
    <t>SunEtAl2022</t>
  </si>
  <si>
    <t>Efficiency</t>
  </si>
  <si>
    <t>PandeyEtAl2023</t>
  </si>
  <si>
    <t>Runtime Complexity</t>
  </si>
  <si>
    <t>Frechet Inception Distance</t>
  </si>
  <si>
    <t>WangEtAl2024</t>
  </si>
  <si>
    <t>Skewness</t>
  </si>
  <si>
    <t>Kurtosis</t>
  </si>
  <si>
    <t>Polyphony</t>
  </si>
  <si>
    <t>Repetitions</t>
  </si>
  <si>
    <t>Mogren2016</t>
  </si>
  <si>
    <t>Distance to the Closest Record</t>
  </si>
  <si>
    <t>Correlation Matrix Distance</t>
  </si>
  <si>
    <t>LiaoEtAl2020</t>
  </si>
  <si>
    <t>LiuEtAl2024</t>
  </si>
  <si>
    <t>TorfiEtAl2022</t>
  </si>
  <si>
    <t>Inception Score</t>
  </si>
  <si>
    <t>Wasserstein Distance</t>
  </si>
  <si>
    <t>RMSE</t>
  </si>
  <si>
    <t>Wavelet Coherence Score</t>
  </si>
  <si>
    <t>LampEtAl2023</t>
  </si>
  <si>
    <t>Coherency Error</t>
  </si>
  <si>
    <t>Likelihood fitness</t>
  </si>
  <si>
    <t>XuEtAl2019</t>
  </si>
  <si>
    <t>EstebanEtAl2017</t>
  </si>
  <si>
    <t>RV Coefficient</t>
  </si>
  <si>
    <t>ZakharovEtAl2024</t>
  </si>
  <si>
    <t>Pearson Correlation</t>
  </si>
  <si>
    <t>KlopriesEtAl2024</t>
  </si>
  <si>
    <t>Hellinger Distance</t>
  </si>
  <si>
    <t>ZhangEtAl2022</t>
  </si>
  <si>
    <t>SattarovEtAl2023</t>
  </si>
  <si>
    <t>MaweuEtAl2021</t>
  </si>
  <si>
    <t>DataType</t>
  </si>
  <si>
    <t>Mean</t>
  </si>
  <si>
    <t>Discrimination</t>
  </si>
  <si>
    <t>Degree</t>
  </si>
  <si>
    <t>Cross Correlation</t>
  </si>
  <si>
    <t>Mutual Information</t>
  </si>
  <si>
    <t>Autocorrelation</t>
  </si>
  <si>
    <t>Centrality</t>
  </si>
  <si>
    <t>Average Path Length</t>
  </si>
  <si>
    <t>MAE</t>
  </si>
  <si>
    <t>Oracle Score</t>
  </si>
  <si>
    <t>Possibility of Reproducibility</t>
  </si>
  <si>
    <t>MMD</t>
  </si>
  <si>
    <t>Fidelity</t>
  </si>
  <si>
    <t>Kullback-Leibler Divergence</t>
  </si>
  <si>
    <t>YadavEtAl2023</t>
  </si>
  <si>
    <t>Largest Connected Component</t>
  </si>
  <si>
    <t>Representativeness</t>
  </si>
  <si>
    <t>Closeness Centrality</t>
  </si>
  <si>
    <t>MetricCategory</t>
  </si>
  <si>
    <t>Evaluation Criteria for Synthetic Data for Finance based on Stenger et al. 2024</t>
  </si>
  <si>
    <t>To be included: Use metric to compare to alternative models</t>
  </si>
  <si>
    <t>Paper</t>
  </si>
  <si>
    <t>Author</t>
  </si>
  <si>
    <t>Clarrification</t>
  </si>
  <si>
    <t>Spatiotemporal multi-graph convolutional networks with synthetic data for traffic volume forecasting</t>
  </si>
  <si>
    <t>ZhuEtAl2022</t>
  </si>
  <si>
    <t>Temporal-Graph</t>
  </si>
  <si>
    <t>Heatmaps of weighted adjacency matrices</t>
  </si>
  <si>
    <t>GraphRNN: Generating Realistic Graphs with Deep Auto-regressive Models</t>
  </si>
  <si>
    <t>YouEtAl2018</t>
  </si>
  <si>
    <t>CartaGenie: Context-Driven Synthesis of City-Scale Mobile Network Traffic Snapshots</t>
  </si>
  <si>
    <t>Invertible Neural Networks for Graph Prediction</t>
  </si>
  <si>
    <t>Energy Statistic</t>
  </si>
  <si>
    <t>Improving the level of autism discrimination with augmented data by GraphRNN</t>
  </si>
  <si>
    <t>TSTR AUC</t>
  </si>
  <si>
    <t>TSTR Accuracy</t>
  </si>
  <si>
    <t>TSTR Recall</t>
  </si>
  <si>
    <t>TSTR F1</t>
  </si>
  <si>
    <t>Training Time</t>
  </si>
  <si>
    <t>GraphVAE: Towards Generation of Small Graphs Using Variational Autoencoders</t>
  </si>
  <si>
    <t>SimonovskyEtAl2018</t>
  </si>
  <si>
    <t>Valid</t>
  </si>
  <si>
    <t>SimonovskyEtAl2019</t>
  </si>
  <si>
    <t>Accurate</t>
  </si>
  <si>
    <t>SimonovskyEtAl2020</t>
  </si>
  <si>
    <t>Unique</t>
  </si>
  <si>
    <t>SimonovskyEtAl2021</t>
  </si>
  <si>
    <t>Novel</t>
  </si>
  <si>
    <t>An Approach to Abstract Multi-stage Cyberattack Data Generation for ML-Based IDS in Smart Grids</t>
  </si>
  <si>
    <t>SenEtAl2023</t>
  </si>
  <si>
    <t>TSTR Precision</t>
  </si>
  <si>
    <t>Framework to generate hypergraphs with community structure</t>
  </si>
  <si>
    <t>RuggEtAl2024</t>
  </si>
  <si>
    <t>Subhypergraph Centrality</t>
  </si>
  <si>
    <t>Eigenvector Centrality</t>
  </si>
  <si>
    <t>Assessing Deep Generative Models on Time Series Network Data</t>
  </si>
  <si>
    <t>NaveedEtAl2022</t>
  </si>
  <si>
    <t>NaveedEtAl2023</t>
  </si>
  <si>
    <t>NaveedEtAl2024</t>
  </si>
  <si>
    <t>ID</t>
  </si>
  <si>
    <t>Category</t>
  </si>
  <si>
    <t>Description</t>
  </si>
  <si>
    <t>Efficiency measures the time invested or resources required to train the model or use it for inference.</t>
  </si>
  <si>
    <t>Fideltiy describes the quality of the individual samples and thus their ability to faithfully preserve patterns observed in the original data before</t>
  </si>
  <si>
    <t>Privacy aims to reduce or even eliminate the risk of disclosure of sensitive information in the synthetic dataset.</t>
  </si>
  <si>
    <t>Representativeness requires a generative model to filter out the noise in the real data, capture the essential characteristics, and reproduce a population of samples with these exact characteristics in a different constellation and with new noise.</t>
  </si>
  <si>
    <t>Utility relates the quality of synthetic data to its usefulness for a specific task, often the training of a machine learning model.</t>
  </si>
  <si>
    <t>TMTR Accuracy</t>
  </si>
  <si>
    <t>TMTR Precision</t>
  </si>
  <si>
    <t>TMTR Recall</t>
  </si>
  <si>
    <t>TMTR F1</t>
  </si>
  <si>
    <t>TMTR Train vs Test Accuracy</t>
  </si>
  <si>
    <t>Generating synthetic data with variational autoencoder to address class imbalance of graph attention network prediction model for construction management</t>
  </si>
  <si>
    <t>MostofiEtAl2024</t>
  </si>
  <si>
    <t>Efficient graph generation with graph recurrent attention networks</t>
  </si>
  <si>
    <t>LiaoEtAl2019</t>
  </si>
  <si>
    <t>tSNE</t>
  </si>
  <si>
    <t>Subgraph generation applied in GraphSAGE deal with imbalanced node classification</t>
  </si>
  <si>
    <t>HuangEtAl2024</t>
  </si>
  <si>
    <t>TMTR F1 (Micro/Macro)</t>
  </si>
  <si>
    <t>Anonymity can Help Minority: A Novel Synthetic Data Over-Sampling Strategy on Multi-label Graphs</t>
  </si>
  <si>
    <t>DuanEtAl2023</t>
  </si>
  <si>
    <t>Scalable Deep Generative Modeling for Sparse Graphs</t>
  </si>
  <si>
    <t>DaiEtAl2020</t>
  </si>
  <si>
    <t>ComparisonMethod</t>
  </si>
  <si>
    <t>MDD</t>
  </si>
  <si>
    <t>Clustering</t>
  </si>
  <si>
    <t>Orbit</t>
  </si>
  <si>
    <t>Simple</t>
  </si>
  <si>
    <t>Incorporated</t>
  </si>
  <si>
    <t>Spectrum of Graph Laplacian</t>
  </si>
  <si>
    <t>Visual</t>
  </si>
  <si>
    <t>Assortivity</t>
  </si>
  <si>
    <t>DAMNETS: A Deep Autoregressive Model for Generating Markovian Network Time Series</t>
  </si>
  <si>
    <t>Membership Inference Attack</t>
  </si>
  <si>
    <t>Assessing the Quality of Differentially Private Synthetic Data for Intrusion Detection</t>
  </si>
  <si>
    <t>AlAminEtAl2023</t>
  </si>
  <si>
    <t>Power Law Distribution</t>
  </si>
  <si>
    <t>A Data-Driven Graph Generative Model for Temporal Interaction Networks</t>
  </si>
  <si>
    <t>DYMOND: DYnamic MOtif-NoDes Network Generative Model</t>
  </si>
  <si>
    <t>Average Local Clustering</t>
  </si>
  <si>
    <t>Global Clustering</t>
  </si>
  <si>
    <t>Activity Rate</t>
  </si>
  <si>
    <t>Temporal Degree Distribution</t>
  </si>
  <si>
    <t>Local Clustering</t>
  </si>
  <si>
    <t>KS test</t>
  </si>
  <si>
    <t>Dynamic Time Warping on Quantiles</t>
  </si>
  <si>
    <t>Degree Centrality</t>
  </si>
  <si>
    <t>temporal correlation</t>
  </si>
  <si>
    <t>temporal closeness difference</t>
  </si>
  <si>
    <t>termporal cluster coefficient difference</t>
  </si>
  <si>
    <t>SouidEtAl2024</t>
  </si>
  <si>
    <t>Temporal Graph Generative Models: An empirical study</t>
  </si>
  <si>
    <t>Nearest Neighbour Distance Ratio</t>
  </si>
  <si>
    <t>SyNIG: Synthetic Network Traffic Generation through Time Series Imaging</t>
  </si>
  <si>
    <t>SivaroopanEtAl2023</t>
  </si>
  <si>
    <t>TSTR MAE</t>
  </si>
  <si>
    <t>TSTR rNMSE</t>
  </si>
  <si>
    <t>HongEtAl2023</t>
  </si>
  <si>
    <t>Multivariate Time Series Forecasting With GARCH Models on Graphs</t>
  </si>
  <si>
    <t>TSTR</t>
  </si>
  <si>
    <t>Generating Mobility Trajectories with Retained Data Utility</t>
  </si>
  <si>
    <t>CaoEtAl2021</t>
  </si>
  <si>
    <t>Origin-Destination Matrix</t>
  </si>
  <si>
    <t>CDF</t>
  </si>
  <si>
    <t>Only applicable if notes stay the same.</t>
  </si>
  <si>
    <t>Multi-Sequence Aggregate Similarity</t>
  </si>
  <si>
    <t>Sequence Length</t>
  </si>
  <si>
    <t>Column Standard Deviation</t>
  </si>
  <si>
    <t>Inter-Row Difference</t>
  </si>
  <si>
    <t>Sequential Models in the Synthetic Data Vault</t>
  </si>
  <si>
    <t>Temporal</t>
  </si>
  <si>
    <t>STAN: Synthetic Network Traffic Generation with Generative Neural Models</t>
  </si>
  <si>
    <t>XuEtAl2021</t>
  </si>
  <si>
    <t>JS Divergence</t>
  </si>
  <si>
    <t>Domain Knowledge Test</t>
  </si>
  <si>
    <t>TSTR MSE</t>
  </si>
  <si>
    <t>Synthetic Data Generation using Resilient Sample Convolution and Interactive Learning Approach</t>
  </si>
  <si>
    <t>UrsEtAl2022</t>
  </si>
  <si>
    <t>TMTR MSE</t>
  </si>
  <si>
    <t>Histogram Wasserstein Distance</t>
  </si>
  <si>
    <t>GenDT: mobile network drive testing made efficient with generative modeling</t>
  </si>
  <si>
    <t>Temporal (single)</t>
  </si>
  <si>
    <t>TSTR Dynamic Time Warping</t>
  </si>
  <si>
    <t>TSTR Histogram Wasserstein Distance</t>
  </si>
  <si>
    <t>Uses n-grams and joined distributions</t>
  </si>
  <si>
    <t>Banksformer: A Deep Generative Model for Synthetic Transaction Sequences</t>
  </si>
  <si>
    <t>NickersonEtAl2023</t>
  </si>
  <si>
    <t>PCA</t>
  </si>
  <si>
    <t>MSE</t>
  </si>
  <si>
    <t>Pearson Correlation Time Plot</t>
  </si>
  <si>
    <t>Pearson Correlation Attributes Plot</t>
  </si>
  <si>
    <t>Attribute</t>
  </si>
  <si>
    <t>Short time series distance</t>
  </si>
  <si>
    <t>ITF-GAN: Synthetic time series dataset generation and manipulation by interpretable features</t>
  </si>
  <si>
    <t>Generative Time-series Modeling with Fourier Flows</t>
  </si>
  <si>
    <t>AlaaEtAl2020</t>
  </si>
  <si>
    <t>Generative AI Enables the Detection of Autism Using EEG Signals</t>
  </si>
  <si>
    <t>LiEtAl2023</t>
  </si>
  <si>
    <t>Attribute Plot</t>
  </si>
  <si>
    <t>Attribute Mean Plot</t>
  </si>
  <si>
    <t>TSTS</t>
  </si>
  <si>
    <t>TRTS</t>
  </si>
  <si>
    <t>TSTS AUC</t>
  </si>
  <si>
    <t>TRTS AUC</t>
  </si>
  <si>
    <t>Diffusion-based conditional ECG generation with structured state space models</t>
  </si>
  <si>
    <t>AlcarazAndStrodthoff2023</t>
  </si>
  <si>
    <t>Generating Healthcare Time Series Data for Improving Diagnostic Accuracy of Deep Neural Networks</t>
  </si>
  <si>
    <t>TRTS Specificity</t>
  </si>
  <si>
    <t>TRTS Recall</t>
  </si>
  <si>
    <t>Attribute Minimum</t>
  </si>
  <si>
    <t>Attribute Maximum</t>
  </si>
  <si>
    <t>Attribute Median</t>
  </si>
  <si>
    <t>Attribute Mean</t>
  </si>
  <si>
    <t>Attribute StdDev</t>
  </si>
  <si>
    <t>Possibility of reproducibility</t>
  </si>
  <si>
    <t>PVS-GEN: Systematic Approach for Universal Synthetic Data Generation Involving Parameterization, Verification, and Segmentation</t>
  </si>
  <si>
    <t>KimAndKwakEtAl2024</t>
  </si>
  <si>
    <t>Execution Time</t>
  </si>
  <si>
    <t>A Synthetic Time-Series Generation Using a Variational Recurrent Autoencoder with an Attention Mechanism in an Industrial Control System</t>
  </si>
  <si>
    <t>JeonAndSeoEtAl2024</t>
  </si>
  <si>
    <t>Causal Recurrent Variational Autoencoder for Medical Time Series Generation</t>
  </si>
  <si>
    <t>LiAndYu2023</t>
  </si>
  <si>
    <t>TSTR RMSE</t>
  </si>
  <si>
    <t>TRGAN: A Time-Dependent Generative Adversarial Network for Synthetic Transactional Data Generation</t>
  </si>
  <si>
    <t>Attribute Kurtosis</t>
  </si>
  <si>
    <t>Attribute Skewness</t>
  </si>
  <si>
    <t>QQ Plot</t>
  </si>
  <si>
    <t>Synthetic Financial Time Series Generation with Regime Clustering</t>
  </si>
  <si>
    <t>ZakharovEtAl2023</t>
  </si>
  <si>
    <t>Autocorrelation Plot</t>
  </si>
  <si>
    <t>Spectral Density</t>
  </si>
  <si>
    <t>YuAndKarray2022</t>
  </si>
  <si>
    <t>Improving Time Series Generation of GANs through Soft Dynamic Time Warping Loss</t>
  </si>
  <si>
    <t>Time-series Generative Adversarial Networks</t>
  </si>
  <si>
    <t>YoonEtAl2019</t>
  </si>
  <si>
    <t>Qualitative and Quantitative Evaluation of Multivariate Time-Series Synthetic Data Generated Using MTS-TGAN: A Novel Approach</t>
  </si>
  <si>
    <t>Synthesizing Tabular Data using Generative Adversarial Networks</t>
  </si>
  <si>
    <t>Xu2018</t>
  </si>
  <si>
    <t>The oracle of the real data is needed.</t>
  </si>
  <si>
    <t>TSTR R2</t>
  </si>
  <si>
    <t>Modeling Tabular data using Conditional GAN</t>
  </si>
  <si>
    <t>XuEtAl2020</t>
  </si>
  <si>
    <t>Tabular</t>
  </si>
  <si>
    <t>IH-TCGAN: Time-Series Conditional Generative Adversarial Network with Improved Hausdorff Distance for Synthesizing Intention Recognition Data</t>
  </si>
  <si>
    <t>WangEtAl2023</t>
  </si>
  <si>
    <t>Spearman correlation coefficient</t>
  </si>
  <si>
    <t>Information entropy</t>
  </si>
  <si>
    <t>Complex network-based clustering coefficient</t>
  </si>
  <si>
    <t>A generative adversarial networks based methodology for imbalanced multidimensional time-series augmentation of complex electromechanical systems</t>
  </si>
  <si>
    <t>AEC-GAN: Adversarial Error Correction GANs for Auto-Regressive Long Time-Series Generation</t>
  </si>
  <si>
    <t>TSTR AUCPRC</t>
  </si>
  <si>
    <t>Artificial utility benchmark where model is trained on predicting one dimension based on all others.</t>
  </si>
  <si>
    <t>Differentially private synthetic medical data generation using convolutional GANs</t>
  </si>
  <si>
    <t>ECGAN: Self-supervised Generative Adversarial Network for Electrocardiography</t>
  </si>
  <si>
    <t>SimoneAndBacciuEtAl2023</t>
  </si>
  <si>
    <t>Smart Home Energy Management: VAE-GAN Synthetic Dataset Generator and Q-Learning</t>
  </si>
  <si>
    <t>RazghandiEtAl2024</t>
  </si>
  <si>
    <t>TSTR Trade Profit</t>
  </si>
  <si>
    <t>Towards Generating Real-World Time Series Data</t>
  </si>
  <si>
    <t>PeiEtAl2021</t>
  </si>
  <si>
    <t>ETGAN: A Hybrid GAN Ensemble for Synthesizing Time-Dependent and Static Tabular Data</t>
  </si>
  <si>
    <t>ParsiEtAl2024</t>
  </si>
  <si>
    <t>TRTS MAE</t>
  </si>
  <si>
    <t>TSTR MSLE</t>
  </si>
  <si>
    <t>TRTS MSLE</t>
  </si>
  <si>
    <t>5GT-GAN: Enhancing Data Augmentation for 5G-Enabled Mobile Edge Computing in Smart Cities</t>
  </si>
  <si>
    <t>Bhattacharyya Distance</t>
  </si>
  <si>
    <t>Densification Power Law Alpha</t>
  </si>
  <si>
    <t>Aggregated Attribute</t>
  </si>
  <si>
    <t>SMAPE</t>
  </si>
  <si>
    <t>Synthetic Ride-Requests Generation using WGAN with Location Embeddings</t>
  </si>
  <si>
    <t>NookalaEtAl2021</t>
  </si>
  <si>
    <t>Predictive Score</t>
  </si>
  <si>
    <t>HAR-STGAN: Human Activity Recognition-Spatial Transformer network for Generative Adversarial Network</t>
  </si>
  <si>
    <t>NianEtAl2024</t>
  </si>
  <si>
    <t>Sig-W1</t>
  </si>
  <si>
    <t>Sig-wasserstein GANs for time series generation</t>
  </si>
  <si>
    <t>NiEtAl2022</t>
  </si>
  <si>
    <t>Trading Performance</t>
  </si>
  <si>
    <t>VTCGAN: A Proposed Multimodal Approach to Financial Time Series and Chart Pattern Generation for Algorithmic Trading</t>
  </si>
  <si>
    <t>MtetwaEtAl2023</t>
  </si>
  <si>
    <t>Scale consistency</t>
  </si>
  <si>
    <t>Tone span</t>
  </si>
  <si>
    <t>C-RNN-GAN: Continuous recurrent neural networks with adversarial training</t>
  </si>
  <si>
    <t>Normalized Distance</t>
  </si>
  <si>
    <t>Attribute Group</t>
  </si>
  <si>
    <t>Attribute Category</t>
  </si>
  <si>
    <t>Unique Count</t>
  </si>
  <si>
    <t>Required Sample Number</t>
  </si>
  <si>
    <t>Generate new samples until the number of unique diseases in the real data is reached.</t>
  </si>
  <si>
    <t>Multi-Label Clinical Time-Series Generation via Conditional GAN</t>
  </si>
  <si>
    <t>LuEtAl2024</t>
  </si>
  <si>
    <t>Time per epoch</t>
  </si>
  <si>
    <t>Sliced Wasserstein Distance</t>
  </si>
  <si>
    <t>Conditional-TimeGAN for Realistic and High-Quality Appliance Trajectories Generation and Data Augmentation in Nonintrusive Load Monitoring</t>
  </si>
  <si>
    <t>Generate scores</t>
  </si>
  <si>
    <t>PPGAN: Privacy-Preserving Generative Adversarial Network</t>
  </si>
  <si>
    <t>LiuEtAl2019</t>
  </si>
  <si>
    <t>Time Series Length Distribution</t>
  </si>
  <si>
    <t>Distance to NN in Training Data</t>
  </si>
  <si>
    <t>Using GANs for Sharing Networked Time Series Data: Challenges, Initial Promise, and Open Questions</t>
  </si>
  <si>
    <t>LinEtAl2020</t>
  </si>
  <si>
    <t>Empirical Density Function</t>
  </si>
  <si>
    <t>Attribute Correlation</t>
  </si>
  <si>
    <t>Conditional Sig-Wasserstein GANs for Time Series Generation</t>
  </si>
  <si>
    <t>TMTR</t>
  </si>
  <si>
    <t>Generating Realistic Multi-Class Biosignals with BioSGAN: A Transformer-Based Label-Guided Generative Adversarial Network</t>
  </si>
  <si>
    <t>Continous</t>
  </si>
  <si>
    <t>Discrete</t>
  </si>
  <si>
    <t>Dimension-wise probability</t>
  </si>
  <si>
    <t>Std</t>
  </si>
  <si>
    <t>Differential Privacy</t>
  </si>
  <si>
    <t>TMTR AUC</t>
  </si>
  <si>
    <t>The downstream classifier is trained with differential privacy guarantee. The  result is compared with TRTR to see whether it can maintain the same</t>
  </si>
  <si>
    <t>Generating synthetic mixed-type longitudinal electronic health records for artificial intelligent applications</t>
  </si>
  <si>
    <t>RSME</t>
  </si>
  <si>
    <t>Energy data generation with Wasserstein Deep Convolutional Generative Adversarial Networks</t>
  </si>
  <si>
    <t>LiEtAl2022</t>
  </si>
  <si>
    <t>Heatmaps of time series</t>
  </si>
  <si>
    <t>Variance</t>
  </si>
  <si>
    <t>Time-in-Range</t>
  </si>
  <si>
    <t>Variance Distribution Plot</t>
  </si>
  <si>
    <t>Motif Distribution</t>
  </si>
  <si>
    <t>GlucoSynth: Generating Differentially-Private Synthetic Glucose Traces</t>
  </si>
  <si>
    <t>Uses classifier two-sample test based on a k-nearestneighbor (KNN) classifier with k = 1</t>
  </si>
  <si>
    <t>SPATE-GAN: Improved Generative Modeling of Dynamic Spatio-Temporal Patterns with an Autoregressive Embedding Loss</t>
  </si>
  <si>
    <t>KlemmerEtAl2022</t>
  </si>
  <si>
    <t>Mean Absolute Deviation</t>
  </si>
  <si>
    <t>Categorical</t>
  </si>
  <si>
    <t>Oracle score</t>
  </si>
  <si>
    <t>Measure the quality of a generated sequence by checking whether it has the known data properties of the positive class</t>
  </si>
  <si>
    <t>Generating Multi-type Temporal Sequences to Mitigate Class-Imbalanced Problem</t>
  </si>
  <si>
    <t>JiangEtAk2021</t>
  </si>
  <si>
    <t>Regime-Specific Quant Generative Adversarial Network: A Conditional Generative Adversarial Network for Regime-Specific Deepfakes of Financial Time Series</t>
  </si>
  <si>
    <t>HuangEtAl2023</t>
  </si>
  <si>
    <t>Financial Return Metrics</t>
  </si>
  <si>
    <t>contains: ST unpredictability, Return density, Volatility clustering, Abs. return density, Loss future vol lag, Coarse–fine vol lag, Coarse–fine vol skew, Gain stoptime CDF, Loss stoptime CDF</t>
  </si>
  <si>
    <t>GulrajaniEtAl2017</t>
  </si>
  <si>
    <t>Improved Training of Wasserstein GANs</t>
  </si>
  <si>
    <t>Distribution of reconstruction errors</t>
  </si>
  <si>
    <t>HierTGAN: Hierarchical Time Series Generation with Aggregation Constraints</t>
  </si>
  <si>
    <t>GujullaLeelEtAl2024</t>
  </si>
  <si>
    <t>Travel Metrics</t>
  </si>
  <si>
    <t>contains: Distance, Radius, Duration, DailyLoc, G-rank, I-rank</t>
  </si>
  <si>
    <t>Learning to Simulate Human Mobility</t>
  </si>
  <si>
    <t>FengEtAl2020</t>
  </si>
  <si>
    <t>TSTR AUPRC</t>
  </si>
  <si>
    <t>Real-valued (Medical) Time Series Generation with Recurrent Conditional GANs</t>
  </si>
  <si>
    <t>Coherent Multi-Table Data Synthesis for Tabular and Time-Series Data with GANs</t>
  </si>
  <si>
    <t>EllikerEtAl2024</t>
  </si>
  <si>
    <t>Fully embedded time series generative adversarial networks</t>
  </si>
  <si>
    <t>BeckAndChakraborty2024</t>
  </si>
  <si>
    <t>Distance to Closest Records</t>
  </si>
  <si>
    <t>Real Record within 1% Range</t>
  </si>
  <si>
    <t>FinDiff: Diffusion Models for Financial Tabular Data Generation</t>
  </si>
  <si>
    <t>Mentions</t>
  </si>
  <si>
    <t>Attribute Pearson Correlation</t>
  </si>
  <si>
    <t>Common Metric Name</t>
  </si>
  <si>
    <t>Adjancency Heatmaps</t>
  </si>
  <si>
    <t>Signal-To-Noise Ratio</t>
  </si>
  <si>
    <t>Structural Similarity</t>
  </si>
  <si>
    <t>Spectrum</t>
  </si>
  <si>
    <t>KL Divergence</t>
  </si>
  <si>
    <t>Number of Connected Components</t>
  </si>
  <si>
    <t>Median</t>
  </si>
  <si>
    <t>Temporal Clustering</t>
  </si>
  <si>
    <t>Temporal Closeness</t>
  </si>
  <si>
    <t>Atttribute Std</t>
  </si>
  <si>
    <t>Attribute JS Divergence</t>
  </si>
  <si>
    <t>Attribute Histogram Wasserstein Distance</t>
  </si>
  <si>
    <t>Attribute DTW</t>
  </si>
  <si>
    <t>Attribute Wasserstein Distance</t>
  </si>
  <si>
    <t>PCA Plot</t>
  </si>
  <si>
    <t>tSNE Plot</t>
  </si>
  <si>
    <t>Attribute Error</t>
  </si>
  <si>
    <t>Attribute Hellinger Distance</t>
  </si>
  <si>
    <t>Attribute Short Time Series Distance</t>
  </si>
  <si>
    <t>Discrimination Score</t>
  </si>
  <si>
    <t>Attribute Std</t>
  </si>
  <si>
    <t>Attribute Normalized Distance</t>
  </si>
  <si>
    <t>Attribute KS Test</t>
  </si>
  <si>
    <t>Spearman Correlation</t>
  </si>
  <si>
    <t>Attribute Polyphony</t>
  </si>
  <si>
    <t>Attribute Repetitions</t>
  </si>
  <si>
    <t>Attribute Scale Consistency</t>
  </si>
  <si>
    <t>Attribute Tone Span</t>
  </si>
  <si>
    <t>Attribute Unique Count</t>
  </si>
  <si>
    <t>Generate Scores</t>
  </si>
  <si>
    <t>Attribute Probability</t>
  </si>
  <si>
    <t>Attribute Heatmap</t>
  </si>
  <si>
    <t>Correlation Matrix Distance Ploe</t>
  </si>
  <si>
    <t>Real Record Closeness</t>
  </si>
  <si>
    <t>Aggregated Attribute Error</t>
  </si>
  <si>
    <t>Aggregated Attribute JS Divergence</t>
  </si>
  <si>
    <t>Aggregated Attribute Normalized Distance</t>
  </si>
  <si>
    <t>Motif Distribution MSE</t>
  </si>
  <si>
    <t>Motif Accuracy</t>
  </si>
  <si>
    <t>Motif Valid</t>
  </si>
  <si>
    <t>Motif Accurate</t>
  </si>
  <si>
    <t>Motif Unique</t>
  </si>
  <si>
    <t>Motif Novel</t>
  </si>
  <si>
    <t>Row Labels</t>
  </si>
  <si>
    <t>Grand Total</t>
  </si>
  <si>
    <t>Count of ID</t>
  </si>
  <si>
    <t>Selected Metric/s</t>
  </si>
  <si>
    <t>Motif Overlap, Motif Coverage</t>
  </si>
  <si>
    <t>Distance to Closest Record</t>
  </si>
  <si>
    <t>Discrimination (Temporal and Graph)</t>
  </si>
  <si>
    <t>TSTR (Temporal and Graph)</t>
  </si>
  <si>
    <t>Clustering, Degree, Orbit MDD (Graph)</t>
  </si>
  <si>
    <t>Radial Kernel</t>
  </si>
  <si>
    <t>Gaussian Kernel</t>
  </si>
  <si>
    <t>Hilbert Kernel</t>
  </si>
  <si>
    <t>Sample</t>
  </si>
  <si>
    <t>Kernel MMD</t>
  </si>
  <si>
    <t>Sample MMD</t>
  </si>
  <si>
    <t>Training / Inference Time</t>
  </si>
  <si>
    <t>SeqLength, AutoCorrelation MDD (Temporal)</t>
  </si>
  <si>
    <t>Par</t>
  </si>
  <si>
    <t>KS test on Column Cross Correlation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</si>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</sst>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NumberForma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Karst" refreshedDate="46014.650263888892" createdVersion="8" refreshedVersion="8" minRefreshableVersion="3" recordCount="327" xr:uid="{35C52BD5-023A-43F5-B179-664B6AAB2F05}">
  <cacheSource type="worksheet">
    <worksheetSource name="Table1"/>
  </cacheSource>
  <cacheFields count="11">
    <cacheField name="ID" numFmtId="0">
      <sharedItems containsSemiMixedTypes="0" containsString="0" containsNumber="1" containsInteger="1" minValue="1" maxValue="328"/>
    </cacheField>
    <cacheField name="Paper" numFmtId="0">
      <sharedItems/>
    </cacheField>
    <cacheField name="Author" numFmtId="0">
      <sharedItems/>
    </cacheField>
    <cacheField name="DataType" numFmtId="0">
      <sharedItems count="6">
        <s v="Temporal-Graph"/>
        <s v="Graph"/>
        <s v="Temporal"/>
        <s v="Temporal (single)"/>
        <s v="Tabular"/>
        <s v="Image"/>
      </sharedItems>
    </cacheField>
    <cacheField name="Temporal" numFmtId="0">
      <sharedItems containsBlank="1" count="3">
        <b v="0"/>
        <b v="1"/>
        <m u="1"/>
      </sharedItems>
    </cacheField>
    <cacheField name="Graph" numFmtId="0">
      <sharedItems containsBlank="1" count="3">
        <b v="1"/>
        <b v="0"/>
        <m u="1"/>
      </sharedItems>
    </cacheField>
    <cacheField name="Common Metric Name" numFmtId="0">
      <sharedItems count="111">
        <s v="Adjancency Heatmaps"/>
        <s v="TSTR"/>
        <s v="Degree"/>
        <s v="Clustering"/>
        <s v="Orbit"/>
        <s v="Signal-To-Noise Ratio"/>
        <s v="Structural Similarity"/>
        <s v="Kernel MMD"/>
        <s v="Energy Statistic"/>
        <s v="Training Time"/>
        <s v="Motif Valid"/>
        <s v="Motif Accurate"/>
        <s v="Motif Unique"/>
        <s v="Motif Novel"/>
        <s v="Centrality"/>
        <s v="Dynamic Time Warping"/>
        <s v="KL Divergence"/>
        <s v="TMTR"/>
        <s v="Spectrum"/>
        <s v="tSNE Plot"/>
        <s v="Transitivity"/>
        <s v="Assortivity"/>
        <s v="Membership Inference Attack"/>
        <s v="Claw Count"/>
        <s v="Wedge Count"/>
        <s v="Largest Connected Component"/>
        <s v="Power Law Distribution"/>
        <s v="Number of Connected Components"/>
        <s v="Density"/>
        <s v="Local Clustering"/>
        <s v="Average Path Length"/>
        <s v="Activity Rate"/>
        <s v="Autocorrelation"/>
        <s v="Temporal Closeness"/>
        <s v="Temporal Clustering"/>
        <s v="Distance to Closest Record"/>
        <s v="Frechet Inception Distance"/>
        <s v="Origin-Destination Matrix"/>
        <s v="Sequence Length"/>
        <s v="Attribute Mean"/>
        <s v="Attribute Median"/>
        <s v="Atttribute Std"/>
        <s v="Inter-Row Difference"/>
        <s v="Pearson Correlation Time Plot"/>
        <s v="Pearson Correlation Attributes Plot"/>
        <s v="Attribute JS Divergence"/>
        <s v="Domain Knowledge Test"/>
        <s v="Attribute Error"/>
        <s v="Attribute DTW"/>
        <s v="Attribute Histogram Wasserstein Distance"/>
        <s v="Attribute Wasserstein Distance"/>
        <s v="PCA Plot"/>
        <s v="Attribute Pearson Correlation"/>
        <s v="Attribute Hellinger Distance"/>
        <s v="Attribute Short Time Series Distance"/>
        <s v="Discrimination Score"/>
        <s v="TSTS"/>
        <s v="TRTS"/>
        <s v="Attribute Minimum"/>
        <s v="Attribute Maximum"/>
        <s v="Attribute StdDev"/>
        <s v="Attribute Plot"/>
        <s v="Possibility of Reproducibility"/>
        <s v="Execution Time"/>
        <s v="Attribute Std"/>
        <s v="Attribute Kurtosis"/>
        <s v="Attribute Skewness"/>
        <s v="QQ Plot"/>
        <s v="Attribute KS Test"/>
        <s v="Spectral Density"/>
        <s v="Mutual Information"/>
        <s v="Likelihood fitness"/>
        <s v="Spearman Correlation"/>
        <s v="Information entropy"/>
        <s v="Sample MMD"/>
        <s v="Inception Score"/>
        <s v="Runtime Complexity"/>
        <s v="RV Coefficient"/>
        <s v="Bhattacharyya Distance"/>
        <s v="Densification Power Law Alpha"/>
        <s v="Aggregated Attribute Error"/>
        <s v="Sig-W1"/>
        <s v="Trading Performance"/>
        <s v="Attribute Polyphony"/>
        <s v="Attribute Scale Consistency"/>
        <s v="Attribute Repetitions"/>
        <s v="Attribute Tone Span"/>
        <s v="Attribute Unique Count"/>
        <s v="Aggregated Attribute JS Divergence"/>
        <s v="Attribute Normalized Distance"/>
        <s v="Aggregated Attribute Normalized Distance"/>
        <s v="Required Sample Number"/>
        <s v="Generate Scores"/>
        <s v="Empirical Density Function"/>
        <s v="Wavelet Coherence Score"/>
        <s v="Attribute Probability"/>
        <s v="Differential Privacy"/>
        <s v="Attribute Heatmap"/>
        <s v="Time-in-Range"/>
        <s v="Variance Distribution Plot"/>
        <s v="Motif Accuracy"/>
        <s v="Motif Distribution MSE"/>
        <s v="Oracle Score"/>
        <s v="Financial Return Metrics"/>
        <s v="Distribution of reconstruction errors"/>
        <s v="Coherency Error"/>
        <s v="Travel Metrics"/>
        <s v="Correlation Matrix Distance Ploe"/>
        <s v="Real Record Closeness"/>
        <s v="Kernel MDD" u="1"/>
        <s v="NN Distance" u="1"/>
      </sharedItems>
    </cacheField>
    <cacheField name="Metric" numFmtId="0">
      <sharedItems/>
    </cacheField>
    <cacheField name="ComparisonMethod" numFmtId="0">
      <sharedItems count="27">
        <s v="Visual"/>
        <s v="Simple"/>
        <s v="MMD"/>
        <s v="Dynamic Time Warping"/>
        <s v="Incorporated"/>
        <s v="MDD"/>
        <s v="Mean"/>
        <s v="KS test"/>
        <s v="Dynamic Time Warping on Quantiles"/>
        <s v="CDF"/>
        <s v="Multi-Sequence Aggregate Similarity"/>
        <s v="JS Divergence"/>
        <s v="MAE"/>
        <s v="Histogram Wasserstein Distance"/>
        <s v="Wasserstein Distance"/>
        <s v="MSE"/>
        <s v="Pearson Correlation"/>
        <s v="Hellinger Distance"/>
        <s v="Short time series distance"/>
        <s v="RMSE"/>
        <s v="SMAPE"/>
        <s v="Unique Count"/>
        <s v="Normalized Distance"/>
        <s v="Std"/>
        <s v="RSME"/>
        <s v="Variance"/>
        <s v="Mean Absolute Deviation"/>
      </sharedItems>
    </cacheField>
    <cacheField name="MetricCategory" numFmtId="0">
      <sharedItems count="6">
        <s v="Fidelity"/>
        <s v="Utility"/>
        <s v="Representativeness"/>
        <s v="Efficiency"/>
        <s v="Privacy"/>
        <s v="Generalization" u="1"/>
      </sharedItems>
    </cacheField>
    <cacheField name="Clarrifi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n v="1"/>
    <s v="Spatiotemporal multi-graph convolutional networks with synthetic data for traffic volume forecasting"/>
    <s v="ZhuEtAl2022"/>
    <x v="0"/>
    <x v="0"/>
    <x v="0"/>
    <x v="0"/>
    <s v="Heatmaps of weighted adjacency matrices"/>
    <x v="0"/>
    <x v="0"/>
    <m/>
  </r>
  <r>
    <n v="2"/>
    <s v="Spatiotemporal multi-graph convolutional networks with synthetic data for traffic volume forecasting"/>
    <s v="ZhuEtAl2022"/>
    <x v="0"/>
    <x v="1"/>
    <x v="0"/>
    <x v="1"/>
    <s v="TSTR RMSE"/>
    <x v="1"/>
    <x v="1"/>
    <m/>
  </r>
  <r>
    <n v="3"/>
    <s v="GraphRNN: Generating Realistic Graphs with Deep Auto-regressive Models"/>
    <s v="YouEtAl2018"/>
    <x v="1"/>
    <x v="0"/>
    <x v="0"/>
    <x v="2"/>
    <s v="Degree"/>
    <x v="2"/>
    <x v="2"/>
    <m/>
  </r>
  <r>
    <n v="4"/>
    <s v="GraphRNN: Generating Realistic Graphs with Deep Auto-regressive Models"/>
    <s v="YouEtAl2018"/>
    <x v="1"/>
    <x v="0"/>
    <x v="0"/>
    <x v="3"/>
    <s v="Global Clustering"/>
    <x v="2"/>
    <x v="2"/>
    <m/>
  </r>
  <r>
    <n v="5"/>
    <s v="GraphRNN: Generating Realistic Graphs with Deep Auto-regressive Models"/>
    <s v="YouEtAl2018"/>
    <x v="1"/>
    <x v="0"/>
    <x v="0"/>
    <x v="4"/>
    <s v="Orbit"/>
    <x v="2"/>
    <x v="2"/>
    <m/>
  </r>
  <r>
    <n v="6"/>
    <s v="CartaGenie: Context-Driven Synthesis of City-Scale Mobile Network Traffic Snapshots"/>
    <s v="XuEtAl2022"/>
    <x v="1"/>
    <x v="0"/>
    <x v="0"/>
    <x v="5"/>
    <s v="Peak Signal-To-Noise Ratio"/>
    <x v="1"/>
    <x v="2"/>
    <m/>
  </r>
  <r>
    <n v="7"/>
    <s v="CartaGenie: Context-Driven Synthesis of City-Scale Mobile Network Traffic Snapshots"/>
    <s v="XuEtAl2022"/>
    <x v="1"/>
    <x v="0"/>
    <x v="0"/>
    <x v="6"/>
    <s v="Structural Similarity Index Metric"/>
    <x v="1"/>
    <x v="2"/>
    <m/>
  </r>
  <r>
    <n v="8"/>
    <s v="Invertible Neural Networks for Graph Prediction"/>
    <s v="XuEtAl2022"/>
    <x v="1"/>
    <x v="0"/>
    <x v="1"/>
    <x v="7"/>
    <s v="Radial Kernel"/>
    <x v="2"/>
    <x v="2"/>
    <m/>
  </r>
  <r>
    <n v="9"/>
    <s v="Invertible Neural Networks for Graph Prediction"/>
    <s v="XuEtAl2022"/>
    <x v="1"/>
    <x v="0"/>
    <x v="0"/>
    <x v="8"/>
    <s v="Energy Statistic"/>
    <x v="1"/>
    <x v="2"/>
    <m/>
  </r>
  <r>
    <n v="10"/>
    <s v="Improving the level of autism discrimination with augmented data by GraphRNN"/>
    <s v="SunEtAl2022"/>
    <x v="1"/>
    <x v="1"/>
    <x v="0"/>
    <x v="1"/>
    <s v="TSTR AUC"/>
    <x v="1"/>
    <x v="1"/>
    <m/>
  </r>
  <r>
    <n v="11"/>
    <s v="Improving the level of autism discrimination with augmented data by GraphRNN"/>
    <s v="SunEtAl2022"/>
    <x v="1"/>
    <x v="1"/>
    <x v="0"/>
    <x v="1"/>
    <s v="TSTR Accuracy"/>
    <x v="1"/>
    <x v="1"/>
    <m/>
  </r>
  <r>
    <n v="12"/>
    <s v="Improving the level of autism discrimination with augmented data by GraphRNN"/>
    <s v="SunEtAl2022"/>
    <x v="1"/>
    <x v="1"/>
    <x v="0"/>
    <x v="1"/>
    <s v="TSTR Recall"/>
    <x v="1"/>
    <x v="1"/>
    <m/>
  </r>
  <r>
    <n v="13"/>
    <s v="Improving the level of autism discrimination with augmented data by GraphRNN"/>
    <s v="SunEtAl2022"/>
    <x v="1"/>
    <x v="1"/>
    <x v="0"/>
    <x v="1"/>
    <s v="TSTR F1"/>
    <x v="1"/>
    <x v="1"/>
    <m/>
  </r>
  <r>
    <n v="14"/>
    <s v="Improving the level of autism discrimination with augmented data by GraphRNN"/>
    <s v="SunEtAl2022"/>
    <x v="1"/>
    <x v="0"/>
    <x v="1"/>
    <x v="9"/>
    <s v="Training Time"/>
    <x v="1"/>
    <x v="3"/>
    <m/>
  </r>
  <r>
    <n v="15"/>
    <s v="GraphVAE: Towards Generation of Small Graphs Using Variational Autoencoders"/>
    <s v="SimonovskyEtAl2018"/>
    <x v="1"/>
    <x v="0"/>
    <x v="0"/>
    <x v="10"/>
    <s v="Valid"/>
    <x v="1"/>
    <x v="0"/>
    <m/>
  </r>
  <r>
    <n v="16"/>
    <s v="GraphVAE: Towards Generation of Small Graphs Using Variational Autoencoders"/>
    <s v="SimonovskyEtAl2019"/>
    <x v="1"/>
    <x v="0"/>
    <x v="0"/>
    <x v="11"/>
    <s v="Accurate"/>
    <x v="1"/>
    <x v="0"/>
    <m/>
  </r>
  <r>
    <n v="17"/>
    <s v="GraphVAE: Towards Generation of Small Graphs Using Variational Autoencoders"/>
    <s v="SimonovskyEtAl2020"/>
    <x v="1"/>
    <x v="0"/>
    <x v="0"/>
    <x v="12"/>
    <s v="Unique"/>
    <x v="1"/>
    <x v="2"/>
    <m/>
  </r>
  <r>
    <n v="18"/>
    <s v="GraphVAE: Towards Generation of Small Graphs Using Variational Autoencoders"/>
    <s v="SimonovskyEtAl2021"/>
    <x v="1"/>
    <x v="0"/>
    <x v="0"/>
    <x v="13"/>
    <s v="Novel"/>
    <x v="1"/>
    <x v="2"/>
    <m/>
  </r>
  <r>
    <n v="19"/>
    <s v="An Approach to Abstract Multi-stage Cyberattack Data Generation for ML-Based IDS in Smart Grids"/>
    <s v="SenEtAl2023"/>
    <x v="1"/>
    <x v="1"/>
    <x v="0"/>
    <x v="1"/>
    <s v="TSTR Recall"/>
    <x v="1"/>
    <x v="1"/>
    <m/>
  </r>
  <r>
    <n v="20"/>
    <s v="An Approach to Abstract Multi-stage Cyberattack Data Generation for ML-Based IDS in Smart Grids"/>
    <s v="SenEtAl2023"/>
    <x v="1"/>
    <x v="1"/>
    <x v="0"/>
    <x v="1"/>
    <s v="TSTR Precision"/>
    <x v="1"/>
    <x v="1"/>
    <m/>
  </r>
  <r>
    <n v="21"/>
    <s v="Framework to generate hypergraphs with community structure"/>
    <s v="RuggEtAl2024"/>
    <x v="1"/>
    <x v="0"/>
    <x v="0"/>
    <x v="14"/>
    <s v="Subhypergraph Centrality"/>
    <x v="1"/>
    <x v="2"/>
    <m/>
  </r>
  <r>
    <n v="22"/>
    <s v="Framework to generate hypergraphs with community structure"/>
    <s v="RuggEtAl2024"/>
    <x v="1"/>
    <x v="0"/>
    <x v="0"/>
    <x v="14"/>
    <s v="Eigenvector Centrality"/>
    <x v="1"/>
    <x v="2"/>
    <m/>
  </r>
  <r>
    <n v="23"/>
    <s v="Assessing Deep Generative Models on Time Series Network Data"/>
    <s v="NaveedEtAl2022"/>
    <x v="0"/>
    <x v="1"/>
    <x v="1"/>
    <x v="15"/>
    <s v="Attribute"/>
    <x v="3"/>
    <x v="0"/>
    <m/>
  </r>
  <r>
    <n v="24"/>
    <s v="Assessing Deep Generative Models on Time Series Network Data"/>
    <s v="NaveedEtAl2023"/>
    <x v="0"/>
    <x v="0"/>
    <x v="1"/>
    <x v="16"/>
    <s v="KL Divergence"/>
    <x v="4"/>
    <x v="2"/>
    <m/>
  </r>
  <r>
    <n v="25"/>
    <s v="Assessing Deep Generative Models on Time Series Network Data"/>
    <s v="NaveedEtAl2024"/>
    <x v="0"/>
    <x v="1"/>
    <x v="0"/>
    <x v="1"/>
    <s v="TSTR Accuracy"/>
    <x v="1"/>
    <x v="1"/>
    <m/>
  </r>
  <r>
    <n v="26"/>
    <s v="Generating synthetic data with variational autoencoder to address class imbalance of graph attention network prediction model for construction management"/>
    <s v="MostofiEtAl2024"/>
    <x v="1"/>
    <x v="1"/>
    <x v="0"/>
    <x v="17"/>
    <s v="TMTR Accuracy"/>
    <x v="1"/>
    <x v="1"/>
    <m/>
  </r>
  <r>
    <n v="27"/>
    <s v="Generating synthetic data with variational autoencoder to address class imbalance of graph attention network prediction model for construction management"/>
    <s v="MostofiEtAl2024"/>
    <x v="1"/>
    <x v="1"/>
    <x v="0"/>
    <x v="17"/>
    <s v="TMTR Precision"/>
    <x v="1"/>
    <x v="1"/>
    <m/>
  </r>
  <r>
    <n v="28"/>
    <s v="Generating synthetic data with variational autoencoder to address class imbalance of graph attention network prediction model for construction management"/>
    <s v="MostofiEtAl2024"/>
    <x v="1"/>
    <x v="1"/>
    <x v="0"/>
    <x v="17"/>
    <s v="TMTR Recall"/>
    <x v="1"/>
    <x v="1"/>
    <m/>
  </r>
  <r>
    <n v="29"/>
    <s v="Generating synthetic data with variational autoencoder to address class imbalance of graph attention network prediction model for construction management"/>
    <s v="MostofiEtAl2024"/>
    <x v="1"/>
    <x v="1"/>
    <x v="0"/>
    <x v="17"/>
    <s v="TMTR F1"/>
    <x v="1"/>
    <x v="1"/>
    <m/>
  </r>
  <r>
    <n v="30"/>
    <s v="Generating synthetic data with variational autoencoder to address class imbalance of graph attention network prediction model for construction management"/>
    <s v="MostofiEtAl2024"/>
    <x v="1"/>
    <x v="1"/>
    <x v="0"/>
    <x v="17"/>
    <s v="TMTR Train vs Test Accuracy"/>
    <x v="1"/>
    <x v="1"/>
    <m/>
  </r>
  <r>
    <n v="31"/>
    <s v="Efficient graph generation with graph recurrent attention networks"/>
    <s v="LiaoEtAl2019"/>
    <x v="1"/>
    <x v="0"/>
    <x v="0"/>
    <x v="2"/>
    <s v="Degree"/>
    <x v="2"/>
    <x v="2"/>
    <m/>
  </r>
  <r>
    <n v="32"/>
    <s v="Efficient graph generation with graph recurrent attention networks"/>
    <s v="LiaoEtAl2019"/>
    <x v="1"/>
    <x v="0"/>
    <x v="0"/>
    <x v="3"/>
    <s v="Global Clustering"/>
    <x v="2"/>
    <x v="2"/>
    <m/>
  </r>
  <r>
    <n v="33"/>
    <s v="Efficient graph generation with graph recurrent attention networks"/>
    <s v="LiaoEtAl2019"/>
    <x v="1"/>
    <x v="0"/>
    <x v="0"/>
    <x v="4"/>
    <s v="Orbit"/>
    <x v="2"/>
    <x v="2"/>
    <m/>
  </r>
  <r>
    <n v="34"/>
    <s v="Efficient graph generation with graph recurrent attention networks"/>
    <s v="LiaoEtAl2019"/>
    <x v="1"/>
    <x v="0"/>
    <x v="0"/>
    <x v="18"/>
    <s v="Spectrum of Graph Laplacian"/>
    <x v="2"/>
    <x v="2"/>
    <m/>
  </r>
  <r>
    <n v="35"/>
    <s v="Subgraph generation applied in GraphSAGE deal with imbalanced node classification"/>
    <s v="HuangEtAl2024"/>
    <x v="1"/>
    <x v="0"/>
    <x v="1"/>
    <x v="19"/>
    <s v="tSNE"/>
    <x v="0"/>
    <x v="0"/>
    <m/>
  </r>
  <r>
    <n v="36"/>
    <s v="Subgraph generation applied in GraphSAGE deal with imbalanced node classification"/>
    <s v="HuangEtAl2024"/>
    <x v="1"/>
    <x v="1"/>
    <x v="0"/>
    <x v="17"/>
    <s v="TMTR Accuracy"/>
    <x v="1"/>
    <x v="1"/>
    <m/>
  </r>
  <r>
    <n v="37"/>
    <s v="Subgraph generation applied in GraphSAGE deal with imbalanced node classification"/>
    <s v="HuangEtAl2024"/>
    <x v="1"/>
    <x v="1"/>
    <x v="0"/>
    <x v="17"/>
    <s v="TMTR F1 (Micro/Macro)"/>
    <x v="1"/>
    <x v="1"/>
    <m/>
  </r>
  <r>
    <n v="38"/>
    <s v="Anonymity can Help Minority: A Novel Synthetic Data Over-Sampling Strategy on Multi-label Graphs"/>
    <s v="DuanEtAl2023"/>
    <x v="1"/>
    <x v="1"/>
    <x v="0"/>
    <x v="17"/>
    <s v="TMTR F1 (Micro/Macro)"/>
    <x v="1"/>
    <x v="1"/>
    <m/>
  </r>
  <r>
    <n v="39"/>
    <s v="Scalable Deep Generative Modeling for Sparse Graphs"/>
    <s v="DaiEtAl2020"/>
    <x v="1"/>
    <x v="0"/>
    <x v="0"/>
    <x v="2"/>
    <s v="Degree"/>
    <x v="2"/>
    <x v="2"/>
    <m/>
  </r>
  <r>
    <n v="40"/>
    <s v="Scalable Deep Generative Modeling for Sparse Graphs"/>
    <s v="DaiEtAl2020"/>
    <x v="1"/>
    <x v="0"/>
    <x v="0"/>
    <x v="3"/>
    <s v="Global Clustering"/>
    <x v="2"/>
    <x v="2"/>
    <m/>
  </r>
  <r>
    <n v="41"/>
    <s v="Scalable Deep Generative Modeling for Sparse Graphs"/>
    <s v="DaiEtAl2020"/>
    <x v="1"/>
    <x v="0"/>
    <x v="0"/>
    <x v="4"/>
    <s v="Orbit"/>
    <x v="2"/>
    <x v="2"/>
    <m/>
  </r>
  <r>
    <n v="42"/>
    <s v="Scalable Deep Generative Modeling for Sparse Graphs"/>
    <s v="DaiEtAl2020"/>
    <x v="1"/>
    <x v="0"/>
    <x v="0"/>
    <x v="18"/>
    <s v="Spectrum of Graph Laplacian"/>
    <x v="2"/>
    <x v="2"/>
    <m/>
  </r>
  <r>
    <n v="43"/>
    <s v="DAMNETS: A Deep Autoregressive Model for Generating Markovian Network Time Series"/>
    <s v="ClarksonEtAl2022"/>
    <x v="0"/>
    <x v="0"/>
    <x v="0"/>
    <x v="2"/>
    <s v="Degree"/>
    <x v="5"/>
    <x v="2"/>
    <m/>
  </r>
  <r>
    <n v="44"/>
    <s v="DAMNETS: A Deep Autoregressive Model for Generating Markovian Network Time Series"/>
    <s v="ClarksonEtAl2022"/>
    <x v="0"/>
    <x v="0"/>
    <x v="0"/>
    <x v="3"/>
    <s v="Global Clustering"/>
    <x v="5"/>
    <x v="2"/>
    <m/>
  </r>
  <r>
    <n v="45"/>
    <s v="DAMNETS: A Deep Autoregressive Model for Generating Markovian Network Time Series"/>
    <s v="ClarksonEtAl2022"/>
    <x v="0"/>
    <x v="0"/>
    <x v="0"/>
    <x v="18"/>
    <s v="Spectrum of Graph Laplacian"/>
    <x v="5"/>
    <x v="2"/>
    <m/>
  </r>
  <r>
    <n v="46"/>
    <s v="DAMNETS: A Deep Autoregressive Model for Generating Markovian Network Time Series"/>
    <s v="ClarksonEtAl2022"/>
    <x v="0"/>
    <x v="0"/>
    <x v="0"/>
    <x v="20"/>
    <s v="Transitivity"/>
    <x v="5"/>
    <x v="2"/>
    <m/>
  </r>
  <r>
    <n v="47"/>
    <s v="DAMNETS: A Deep Autoregressive Model for Generating Markovian Network Time Series"/>
    <s v="ClarksonEtAl2022"/>
    <x v="0"/>
    <x v="0"/>
    <x v="0"/>
    <x v="21"/>
    <s v="Assortivity"/>
    <x v="5"/>
    <x v="2"/>
    <m/>
  </r>
  <r>
    <n v="48"/>
    <s v="DAMNETS: A Deep Autoregressive Model for Generating Markovian Network Time Series"/>
    <s v="ClarksonEtAl2022"/>
    <x v="0"/>
    <x v="0"/>
    <x v="0"/>
    <x v="14"/>
    <s v="Closeness Centrality"/>
    <x v="5"/>
    <x v="2"/>
    <m/>
  </r>
  <r>
    <n v="49"/>
    <s v="Assessing the Quality of Differentially Private Synthetic Data for Intrusion Detection"/>
    <s v="AlAminEtAl2023"/>
    <x v="1"/>
    <x v="1"/>
    <x v="0"/>
    <x v="1"/>
    <s v="TSTR Accuracy"/>
    <x v="1"/>
    <x v="1"/>
    <m/>
  </r>
  <r>
    <n v="50"/>
    <s v="Assessing the Quality of Differentially Private Synthetic Data for Intrusion Detection"/>
    <s v="AlAminEtAl2023"/>
    <x v="1"/>
    <x v="1"/>
    <x v="0"/>
    <x v="1"/>
    <s v="TSTR Precision"/>
    <x v="1"/>
    <x v="1"/>
    <m/>
  </r>
  <r>
    <n v="51"/>
    <s v="Assessing the Quality of Differentially Private Synthetic Data for Intrusion Detection"/>
    <s v="AlAminEtAl2023"/>
    <x v="1"/>
    <x v="1"/>
    <x v="0"/>
    <x v="1"/>
    <s v="TSTR Recall"/>
    <x v="1"/>
    <x v="1"/>
    <m/>
  </r>
  <r>
    <n v="52"/>
    <s v="Assessing the Quality of Differentially Private Synthetic Data for Intrusion Detection"/>
    <s v="AlAminEtAl2023"/>
    <x v="1"/>
    <x v="1"/>
    <x v="0"/>
    <x v="1"/>
    <s v="TSTR F1"/>
    <x v="1"/>
    <x v="1"/>
    <m/>
  </r>
  <r>
    <n v="53"/>
    <s v="Assessing the Quality of Differentially Private Synthetic Data for Intrusion Detection"/>
    <s v="AlAminEtAl2023"/>
    <x v="1"/>
    <x v="0"/>
    <x v="1"/>
    <x v="22"/>
    <s v="Membership Inference Attack"/>
    <x v="1"/>
    <x v="4"/>
    <m/>
  </r>
  <r>
    <n v="54"/>
    <s v="A Data-Driven Graph Generative Model for Temporal Interaction Networks"/>
    <s v="ZhouEtAl2020"/>
    <x v="0"/>
    <x v="0"/>
    <x v="0"/>
    <x v="2"/>
    <s v="Degree"/>
    <x v="6"/>
    <x v="2"/>
    <m/>
  </r>
  <r>
    <n v="55"/>
    <s v="A Data-Driven Graph Generative Model for Temporal Interaction Networks"/>
    <s v="ZhouEtAl2020"/>
    <x v="0"/>
    <x v="0"/>
    <x v="0"/>
    <x v="23"/>
    <s v="Claw Count"/>
    <x v="1"/>
    <x v="2"/>
    <m/>
  </r>
  <r>
    <n v="56"/>
    <s v="A Data-Driven Graph Generative Model for Temporal Interaction Networks"/>
    <s v="ZhouEtAl2020"/>
    <x v="0"/>
    <x v="0"/>
    <x v="0"/>
    <x v="24"/>
    <s v="Wedge Count"/>
    <x v="1"/>
    <x v="2"/>
    <m/>
  </r>
  <r>
    <n v="57"/>
    <s v="A Data-Driven Graph Generative Model for Temporal Interaction Networks"/>
    <s v="ZhouEtAl2020"/>
    <x v="0"/>
    <x v="0"/>
    <x v="0"/>
    <x v="25"/>
    <s v="Largest Connected Component"/>
    <x v="1"/>
    <x v="2"/>
    <m/>
  </r>
  <r>
    <n v="58"/>
    <s v="A Data-Driven Graph Generative Model for Temporal Interaction Networks"/>
    <s v="ZhouEtAl2020"/>
    <x v="0"/>
    <x v="0"/>
    <x v="0"/>
    <x v="26"/>
    <s v="Power Law Distribution"/>
    <x v="1"/>
    <x v="2"/>
    <m/>
  </r>
  <r>
    <n v="59"/>
    <s v="A Data-Driven Graph Generative Model for Temporal Interaction Networks"/>
    <s v="ZhouEtAl2020"/>
    <x v="0"/>
    <x v="0"/>
    <x v="0"/>
    <x v="27"/>
    <s v="Number of Connected Components"/>
    <x v="1"/>
    <x v="2"/>
    <m/>
  </r>
  <r>
    <n v="60"/>
    <s v="A Data-Driven Graph Generative Model for Temporal Interaction Networks"/>
    <s v="ZhouEtAl2020"/>
    <x v="0"/>
    <x v="1"/>
    <x v="0"/>
    <x v="1"/>
    <s v="TSTR Recall"/>
    <x v="1"/>
    <x v="1"/>
    <m/>
  </r>
  <r>
    <n v="61"/>
    <s v="A Data-Driven Graph Generative Model for Temporal Interaction Networks"/>
    <s v="ZhouEtAl2020"/>
    <x v="0"/>
    <x v="1"/>
    <x v="0"/>
    <x v="1"/>
    <s v="TSTR Accuracy"/>
    <x v="1"/>
    <x v="1"/>
    <m/>
  </r>
  <r>
    <n v="62"/>
    <s v="DYMOND: DYnamic MOtif-NoDes Network Generative Model"/>
    <s v="ZenoEtAl2021"/>
    <x v="0"/>
    <x v="0"/>
    <x v="0"/>
    <x v="28"/>
    <s v="Density"/>
    <x v="1"/>
    <x v="2"/>
    <m/>
  </r>
  <r>
    <n v="63"/>
    <s v="DYMOND: DYnamic MOtif-NoDes Network Generative Model"/>
    <s v="ZenoEtAl2021"/>
    <x v="0"/>
    <x v="0"/>
    <x v="0"/>
    <x v="29"/>
    <s v="Average Local Clustering"/>
    <x v="1"/>
    <x v="0"/>
    <m/>
  </r>
  <r>
    <n v="64"/>
    <s v="DYMOND: DYnamic MOtif-NoDes Network Generative Model"/>
    <s v="ZenoEtAl2021"/>
    <x v="0"/>
    <x v="0"/>
    <x v="0"/>
    <x v="3"/>
    <s v="Global Clustering"/>
    <x v="1"/>
    <x v="2"/>
    <m/>
  </r>
  <r>
    <n v="65"/>
    <s v="DYMOND: DYnamic MOtif-NoDes Network Generative Model"/>
    <s v="ZenoEtAl2021"/>
    <x v="0"/>
    <x v="0"/>
    <x v="0"/>
    <x v="30"/>
    <s v="Average Path Length"/>
    <x v="1"/>
    <x v="0"/>
    <m/>
  </r>
  <r>
    <n v="66"/>
    <s v="DYMOND: DYnamic MOtif-NoDes Network Generative Model"/>
    <s v="ZenoEtAl2021"/>
    <x v="0"/>
    <x v="0"/>
    <x v="0"/>
    <x v="25"/>
    <s v="Largest Connected Component"/>
    <x v="1"/>
    <x v="2"/>
    <m/>
  </r>
  <r>
    <n v="67"/>
    <s v="DYMOND: DYnamic MOtif-NoDes Network Generative Model"/>
    <s v="ZenoEtAl2021"/>
    <x v="0"/>
    <x v="1"/>
    <x v="0"/>
    <x v="31"/>
    <s v="Activity Rate"/>
    <x v="7"/>
    <x v="0"/>
    <m/>
  </r>
  <r>
    <n v="68"/>
    <s v="DYMOND: DYnamic MOtif-NoDes Network Generative Model"/>
    <s v="ZenoEtAl2021"/>
    <x v="0"/>
    <x v="0"/>
    <x v="0"/>
    <x v="2"/>
    <s v="Temporal Degree Distribution"/>
    <x v="7"/>
    <x v="2"/>
    <m/>
  </r>
  <r>
    <n v="69"/>
    <s v="DYMOND: DYnamic MOtif-NoDes Network Generative Model"/>
    <s v="ZenoEtAl2021"/>
    <x v="0"/>
    <x v="0"/>
    <x v="0"/>
    <x v="29"/>
    <s v="Local Clustering"/>
    <x v="7"/>
    <x v="0"/>
    <m/>
  </r>
  <r>
    <n v="70"/>
    <s v="DYMOND: DYnamic MOtif-NoDes Network Generative Model"/>
    <s v="ZenoEtAl2021"/>
    <x v="0"/>
    <x v="0"/>
    <x v="0"/>
    <x v="14"/>
    <s v="Closeness Centrality"/>
    <x v="7"/>
    <x v="2"/>
    <m/>
  </r>
  <r>
    <n v="71"/>
    <s v="Temporal Graph Generative Models: An empirical study"/>
    <s v="SouidEtAl2024"/>
    <x v="0"/>
    <x v="0"/>
    <x v="0"/>
    <x v="18"/>
    <s v="Spectrum of Graph Laplacian"/>
    <x v="8"/>
    <x v="2"/>
    <m/>
  </r>
  <r>
    <n v="72"/>
    <s v="Temporal Graph Generative Models: An empirical study"/>
    <s v="SouidEtAl2024"/>
    <x v="0"/>
    <x v="0"/>
    <x v="0"/>
    <x v="2"/>
    <s v="Degree"/>
    <x v="8"/>
    <x v="2"/>
    <m/>
  </r>
  <r>
    <n v="73"/>
    <s v="Temporal Graph Generative Models: An empirical study"/>
    <s v="SouidEtAl2024"/>
    <x v="0"/>
    <x v="0"/>
    <x v="0"/>
    <x v="14"/>
    <s v="Degree Centrality"/>
    <x v="8"/>
    <x v="2"/>
    <m/>
  </r>
  <r>
    <n v="74"/>
    <s v="Temporal Graph Generative Models: An empirical study"/>
    <s v="SouidEtAl2024"/>
    <x v="0"/>
    <x v="0"/>
    <x v="0"/>
    <x v="29"/>
    <s v="Local Clustering"/>
    <x v="8"/>
    <x v="0"/>
    <m/>
  </r>
  <r>
    <n v="75"/>
    <s v="Temporal Graph Generative Models: An empirical study"/>
    <s v="SouidEtAl2024"/>
    <x v="0"/>
    <x v="0"/>
    <x v="0"/>
    <x v="14"/>
    <s v="Closeness Centrality"/>
    <x v="8"/>
    <x v="2"/>
    <m/>
  </r>
  <r>
    <n v="76"/>
    <s v="Temporal Graph Generative Models: An empirical study"/>
    <s v="SouidEtAl2024"/>
    <x v="0"/>
    <x v="0"/>
    <x v="0"/>
    <x v="14"/>
    <s v="Eigenvector Centrality"/>
    <x v="8"/>
    <x v="2"/>
    <m/>
  </r>
  <r>
    <n v="77"/>
    <s v="Temporal Graph Generative Models: An empirical study"/>
    <s v="SouidEtAl2024"/>
    <x v="0"/>
    <x v="0"/>
    <x v="0"/>
    <x v="3"/>
    <s v="Global Clustering"/>
    <x v="8"/>
    <x v="2"/>
    <m/>
  </r>
  <r>
    <n v="78"/>
    <s v="Temporal Graph Generative Models: An empirical study"/>
    <s v="SouidEtAl2024"/>
    <x v="0"/>
    <x v="0"/>
    <x v="0"/>
    <x v="20"/>
    <s v="Transitivity"/>
    <x v="8"/>
    <x v="2"/>
    <m/>
  </r>
  <r>
    <n v="79"/>
    <s v="Temporal Graph Generative Models: An empirical study"/>
    <s v="SouidEtAl2024"/>
    <x v="0"/>
    <x v="1"/>
    <x v="0"/>
    <x v="1"/>
    <s v="TSTR AUC"/>
    <x v="1"/>
    <x v="1"/>
    <m/>
  </r>
  <r>
    <n v="80"/>
    <s v="Temporal Graph Generative Models: An empirical study"/>
    <s v="SouidEtAl2024"/>
    <x v="0"/>
    <x v="1"/>
    <x v="1"/>
    <x v="32"/>
    <s v="temporal correlation"/>
    <x v="1"/>
    <x v="0"/>
    <m/>
  </r>
  <r>
    <n v="81"/>
    <s v="Temporal Graph Generative Models: An empirical study"/>
    <s v="SouidEtAl2024"/>
    <x v="0"/>
    <x v="1"/>
    <x v="1"/>
    <x v="33"/>
    <s v="temporal closeness difference"/>
    <x v="1"/>
    <x v="0"/>
    <m/>
  </r>
  <r>
    <n v="82"/>
    <s v="Temporal Graph Generative Models: An empirical study"/>
    <s v="SouidEtAl2024"/>
    <x v="0"/>
    <x v="1"/>
    <x v="1"/>
    <x v="34"/>
    <s v="termporal cluster coefficient difference"/>
    <x v="1"/>
    <x v="0"/>
    <m/>
  </r>
  <r>
    <n v="83"/>
    <s v="Temporal Graph Generative Models: An empirical study"/>
    <s v="SouidEtAl2024"/>
    <x v="0"/>
    <x v="0"/>
    <x v="1"/>
    <x v="35"/>
    <s v="Nearest Neighbour Distance Ratio"/>
    <x v="1"/>
    <x v="4"/>
    <m/>
  </r>
  <r>
    <n v="84"/>
    <s v="SyNIG: Synthetic Network Traffic Generation through Time Series Imaging"/>
    <s v="SivaroopanEtAl2023"/>
    <x v="0"/>
    <x v="0"/>
    <x v="1"/>
    <x v="36"/>
    <s v="Frechet Inception Distance"/>
    <x v="4"/>
    <x v="2"/>
    <m/>
  </r>
  <r>
    <n v="85"/>
    <s v="SyNIG: Synthetic Network Traffic Generation through Time Series Imaging"/>
    <s v="SivaroopanEtAl2023"/>
    <x v="0"/>
    <x v="1"/>
    <x v="0"/>
    <x v="17"/>
    <s v="TMTR Accuracy"/>
    <x v="1"/>
    <x v="1"/>
    <m/>
  </r>
  <r>
    <n v="86"/>
    <s v="Multivariate Time Series Forecasting With GARCH Models on Graphs"/>
    <s v="HongEtAl2023"/>
    <x v="0"/>
    <x v="1"/>
    <x v="0"/>
    <x v="1"/>
    <s v="TSTR MAE"/>
    <x v="1"/>
    <x v="1"/>
    <m/>
  </r>
  <r>
    <n v="87"/>
    <s v="Multivariate Time Series Forecasting With GARCH Models on Graphs"/>
    <s v="HongEtAl2023"/>
    <x v="0"/>
    <x v="1"/>
    <x v="0"/>
    <x v="1"/>
    <s v="TSTR rNMSE"/>
    <x v="1"/>
    <x v="1"/>
    <m/>
  </r>
  <r>
    <n v="88"/>
    <s v="Generating Mobility Trajectories with Retained Data Utility"/>
    <s v="CaoEtAl2021"/>
    <x v="0"/>
    <x v="1"/>
    <x v="0"/>
    <x v="1"/>
    <s v="TSTR Precision"/>
    <x v="1"/>
    <x v="1"/>
    <m/>
  </r>
  <r>
    <n v="89"/>
    <s v="Generating Mobility Trajectories with Retained Data Utility"/>
    <s v="CaoEtAl2021"/>
    <x v="0"/>
    <x v="1"/>
    <x v="0"/>
    <x v="1"/>
    <s v="TSTR Recall"/>
    <x v="1"/>
    <x v="1"/>
    <m/>
  </r>
  <r>
    <n v="90"/>
    <s v="Generating Mobility Trajectories with Retained Data Utility"/>
    <s v="CaoEtAl2021"/>
    <x v="0"/>
    <x v="0"/>
    <x v="0"/>
    <x v="37"/>
    <s v="Origin-Destination Matrix"/>
    <x v="9"/>
    <x v="2"/>
    <s v="Only applicable if notes stay the same."/>
  </r>
  <r>
    <n v="91"/>
    <s v="Sequential Models in the Synthetic Data Vault"/>
    <s v="ZhangEtAl2022"/>
    <x v="2"/>
    <x v="1"/>
    <x v="0"/>
    <x v="38"/>
    <s v="Sequence Length"/>
    <x v="10"/>
    <x v="0"/>
    <m/>
  </r>
  <r>
    <n v="92"/>
    <s v="Sequential Models in the Synthetic Data Vault"/>
    <s v="ZhangEtAl2022"/>
    <x v="2"/>
    <x v="0"/>
    <x v="1"/>
    <x v="39"/>
    <s v="Mean"/>
    <x v="10"/>
    <x v="0"/>
    <m/>
  </r>
  <r>
    <n v="93"/>
    <s v="Sequential Models in the Synthetic Data Vault"/>
    <s v="ZhangEtAl2022"/>
    <x v="2"/>
    <x v="0"/>
    <x v="1"/>
    <x v="40"/>
    <s v="Median"/>
    <x v="10"/>
    <x v="0"/>
    <m/>
  </r>
  <r>
    <n v="94"/>
    <s v="Sequential Models in the Synthetic Data Vault"/>
    <s v="ZhangEtAl2022"/>
    <x v="2"/>
    <x v="0"/>
    <x v="1"/>
    <x v="41"/>
    <s v="Column Standard Deviation"/>
    <x v="10"/>
    <x v="0"/>
    <m/>
  </r>
  <r>
    <n v="95"/>
    <s v="Sequential Models in the Synthetic Data Vault"/>
    <s v="ZhangEtAl2022"/>
    <x v="2"/>
    <x v="1"/>
    <x v="1"/>
    <x v="42"/>
    <s v="Inter-Row Difference"/>
    <x v="10"/>
    <x v="0"/>
    <m/>
  </r>
  <r>
    <n v="96"/>
    <s v="STAN: Synthetic Network Traffic Generation with Generative Neural Models"/>
    <s v="XuEtAl2021"/>
    <x v="2"/>
    <x v="0"/>
    <x v="1"/>
    <x v="43"/>
    <s v="Pearson Correlation Time Plot"/>
    <x v="0"/>
    <x v="2"/>
    <m/>
  </r>
  <r>
    <n v="97"/>
    <s v="STAN: Synthetic Network Traffic Generation with Generative Neural Models"/>
    <s v="XuEtAl2021"/>
    <x v="2"/>
    <x v="0"/>
    <x v="1"/>
    <x v="44"/>
    <s v="Pearson Correlation Attributes Plot"/>
    <x v="0"/>
    <x v="2"/>
    <m/>
  </r>
  <r>
    <n v="98"/>
    <s v="STAN: Synthetic Network Traffic Generation with Generative Neural Models"/>
    <s v="XuEtAl2021"/>
    <x v="2"/>
    <x v="0"/>
    <x v="1"/>
    <x v="45"/>
    <s v="Attribute"/>
    <x v="11"/>
    <x v="2"/>
    <m/>
  </r>
  <r>
    <n v="99"/>
    <s v="STAN: Synthetic Network Traffic Generation with Generative Neural Models"/>
    <s v="XuEtAl2021"/>
    <x v="2"/>
    <x v="0"/>
    <x v="1"/>
    <x v="46"/>
    <s v="Domain Knowledge Test"/>
    <x v="1"/>
    <x v="0"/>
    <m/>
  </r>
  <r>
    <n v="100"/>
    <s v="STAN: Synthetic Network Traffic Generation with Generative Neural Models"/>
    <s v="XuEtAl2021"/>
    <x v="2"/>
    <x v="1"/>
    <x v="0"/>
    <x v="1"/>
    <s v="TSTR F1"/>
    <x v="1"/>
    <x v="1"/>
    <m/>
  </r>
  <r>
    <n v="101"/>
    <s v="STAN: Synthetic Network Traffic Generation with Generative Neural Models"/>
    <s v="XuEtAl2021"/>
    <x v="2"/>
    <x v="1"/>
    <x v="0"/>
    <x v="1"/>
    <s v="TSTR MSE"/>
    <x v="1"/>
    <x v="1"/>
    <m/>
  </r>
  <r>
    <n v="102"/>
    <s v="Synthetic Data Generation using Resilient Sample Convolution and Interactive Learning Approach"/>
    <s v="UrsEtAl2022"/>
    <x v="2"/>
    <x v="1"/>
    <x v="0"/>
    <x v="17"/>
    <s v="TMTR MSE"/>
    <x v="1"/>
    <x v="1"/>
    <m/>
  </r>
  <r>
    <n v="103"/>
    <s v="GenDT: mobile network drive testing made efficient with generative modeling"/>
    <s v="SunEtAl2022"/>
    <x v="3"/>
    <x v="1"/>
    <x v="1"/>
    <x v="47"/>
    <s v="Attribute"/>
    <x v="12"/>
    <x v="0"/>
    <m/>
  </r>
  <r>
    <n v="104"/>
    <s v="GenDT: mobile network drive testing made efficient with generative modeling"/>
    <s v="SunEtAl2022"/>
    <x v="3"/>
    <x v="1"/>
    <x v="1"/>
    <x v="48"/>
    <s v="Attribute"/>
    <x v="3"/>
    <x v="0"/>
    <m/>
  </r>
  <r>
    <n v="105"/>
    <s v="GenDT: mobile network drive testing made efficient with generative modeling"/>
    <s v="SunEtAl2022"/>
    <x v="3"/>
    <x v="0"/>
    <x v="1"/>
    <x v="49"/>
    <s v="Attribute"/>
    <x v="13"/>
    <x v="2"/>
    <m/>
  </r>
  <r>
    <n v="106"/>
    <s v="GenDT: mobile network drive testing made efficient with generative modeling"/>
    <s v="SunEtAl2022"/>
    <x v="3"/>
    <x v="1"/>
    <x v="0"/>
    <x v="1"/>
    <s v="TSTR MAE"/>
    <x v="1"/>
    <x v="1"/>
    <m/>
  </r>
  <r>
    <n v="107"/>
    <s v="GenDT: mobile network drive testing made efficient with generative modeling"/>
    <s v="SunEtAl2022"/>
    <x v="3"/>
    <x v="1"/>
    <x v="0"/>
    <x v="1"/>
    <s v="TSTR Dynamic Time Warping"/>
    <x v="1"/>
    <x v="1"/>
    <m/>
  </r>
  <r>
    <n v="108"/>
    <s v="GenDT: mobile network drive testing made efficient with generative modeling"/>
    <s v="SunEtAl2022"/>
    <x v="3"/>
    <x v="1"/>
    <x v="0"/>
    <x v="1"/>
    <s v="TSTR Histogram Wasserstein Distance"/>
    <x v="1"/>
    <x v="1"/>
    <m/>
  </r>
  <r>
    <n v="109"/>
    <s v="Banksformer: A Deep Generative Model for Synthetic Transaction Sequences"/>
    <s v="NickersonEtAl2023"/>
    <x v="2"/>
    <x v="0"/>
    <x v="1"/>
    <x v="50"/>
    <s v="Attribute"/>
    <x v="14"/>
    <x v="2"/>
    <m/>
  </r>
  <r>
    <n v="110"/>
    <s v="Banksformer: A Deep Generative Model for Synthetic Transaction Sequences"/>
    <s v="NickersonEtAl2023"/>
    <x v="2"/>
    <x v="0"/>
    <x v="1"/>
    <x v="45"/>
    <s v="Attribute"/>
    <x v="11"/>
    <x v="2"/>
    <s v="Uses n-grams and joined distributions"/>
  </r>
  <r>
    <n v="111"/>
    <s v="ITF-GAN: Synthetic time series dataset generation and manipulation by interpretable features"/>
    <s v="KlopriesEtAl2024"/>
    <x v="3"/>
    <x v="0"/>
    <x v="1"/>
    <x v="51"/>
    <s v="PCA"/>
    <x v="0"/>
    <x v="0"/>
    <m/>
  </r>
  <r>
    <n v="112"/>
    <s v="ITF-GAN: Synthetic time series dataset generation and manipulation by interpretable features"/>
    <s v="KlopriesEtAl2024"/>
    <x v="3"/>
    <x v="0"/>
    <x v="1"/>
    <x v="19"/>
    <s v="tSNE"/>
    <x v="0"/>
    <x v="0"/>
    <m/>
  </r>
  <r>
    <n v="113"/>
    <s v="ITF-GAN: Synthetic time series dataset generation and manipulation by interpretable features"/>
    <s v="KlopriesEtAl2024"/>
    <x v="3"/>
    <x v="1"/>
    <x v="1"/>
    <x v="47"/>
    <s v="Attribute"/>
    <x v="15"/>
    <x v="2"/>
    <m/>
  </r>
  <r>
    <n v="114"/>
    <s v="ITF-GAN: Synthetic time series dataset generation and manipulation by interpretable features"/>
    <s v="KlopriesEtAl2024"/>
    <x v="3"/>
    <x v="0"/>
    <x v="1"/>
    <x v="52"/>
    <s v="Attribute"/>
    <x v="16"/>
    <x v="2"/>
    <m/>
  </r>
  <r>
    <n v="115"/>
    <s v="ITF-GAN: Synthetic time series dataset generation and manipulation by interpretable features"/>
    <s v="KlopriesEtAl2024"/>
    <x v="3"/>
    <x v="0"/>
    <x v="1"/>
    <x v="53"/>
    <s v="Attribute"/>
    <x v="17"/>
    <x v="2"/>
    <m/>
  </r>
  <r>
    <n v="116"/>
    <s v="ITF-GAN: Synthetic time series dataset generation and manipulation by interpretable features"/>
    <s v="KlopriesEtAl2024"/>
    <x v="3"/>
    <x v="1"/>
    <x v="1"/>
    <x v="54"/>
    <s v="Attribute"/>
    <x v="18"/>
    <x v="2"/>
    <m/>
  </r>
  <r>
    <n v="117"/>
    <s v="ITF-GAN: Synthetic time series dataset generation and manipulation by interpretable features"/>
    <s v="KlopriesEtAl2024"/>
    <x v="3"/>
    <x v="1"/>
    <x v="0"/>
    <x v="55"/>
    <s v="Discrimination"/>
    <x v="1"/>
    <x v="0"/>
    <m/>
  </r>
  <r>
    <n v="118"/>
    <s v="ITF-GAN: Synthetic time series dataset generation and manipulation by interpretable features"/>
    <s v="KlopriesEtAl2024"/>
    <x v="3"/>
    <x v="1"/>
    <x v="0"/>
    <x v="1"/>
    <s v="TSTR MAE"/>
    <x v="1"/>
    <x v="1"/>
    <m/>
  </r>
  <r>
    <n v="119"/>
    <s v="Generative Time-series Modeling with Fourier Flows"/>
    <s v="AlaaEtAl2020"/>
    <x v="2"/>
    <x v="1"/>
    <x v="0"/>
    <x v="1"/>
    <s v="TSTR F1"/>
    <x v="1"/>
    <x v="1"/>
    <m/>
  </r>
  <r>
    <n v="120"/>
    <s v="Generative Time-series Modeling with Fourier Flows"/>
    <s v="AlaaEtAl2020"/>
    <x v="2"/>
    <x v="1"/>
    <x v="0"/>
    <x v="1"/>
    <s v="TSTR MAE"/>
    <x v="1"/>
    <x v="1"/>
    <m/>
  </r>
  <r>
    <n v="121"/>
    <s v="Generative AI Enables the Detection of Autism Using EEG Signals"/>
    <s v="LiEtAl2023"/>
    <x v="3"/>
    <x v="1"/>
    <x v="0"/>
    <x v="1"/>
    <s v="TSTR Accuracy"/>
    <x v="1"/>
    <x v="1"/>
    <m/>
  </r>
  <r>
    <n v="122"/>
    <s v="Diffusion-based conditional ECG generation with structured state space models"/>
    <s v="AlcarazAndStrodthoff2023"/>
    <x v="3"/>
    <x v="0"/>
    <x v="1"/>
    <x v="39"/>
    <s v="Attribute Mean Plot"/>
    <x v="0"/>
    <x v="2"/>
    <m/>
  </r>
  <r>
    <n v="123"/>
    <s v="Diffusion-based conditional ECG generation with structured state space models"/>
    <s v="AlcarazAndStrodthoff2023"/>
    <x v="3"/>
    <x v="1"/>
    <x v="0"/>
    <x v="1"/>
    <s v="TSTR AUC"/>
    <x v="1"/>
    <x v="1"/>
    <m/>
  </r>
  <r>
    <n v="124"/>
    <s v="Diffusion-based conditional ECG generation with structured state space models"/>
    <s v="AlcarazAndStrodthoff2023"/>
    <x v="3"/>
    <x v="1"/>
    <x v="0"/>
    <x v="56"/>
    <s v="TSTS AUC"/>
    <x v="1"/>
    <x v="1"/>
    <m/>
  </r>
  <r>
    <n v="125"/>
    <s v="Diffusion-based conditional ECG generation with structured state space models"/>
    <s v="AlcarazAndStrodthoff2023"/>
    <x v="3"/>
    <x v="1"/>
    <x v="0"/>
    <x v="57"/>
    <s v="TRTS AUC"/>
    <x v="1"/>
    <x v="1"/>
    <m/>
  </r>
  <r>
    <n v="126"/>
    <s v="Generating Healthcare Time Series Data for Improving Diagnostic Accuracy of Deep Neural Networks"/>
    <s v="MaweuEtAl2021"/>
    <x v="3"/>
    <x v="1"/>
    <x v="0"/>
    <x v="57"/>
    <s v="TRTS Specificity"/>
    <x v="1"/>
    <x v="1"/>
    <m/>
  </r>
  <r>
    <n v="127"/>
    <s v="Generating Healthcare Time Series Data for Improving Diagnostic Accuracy of Deep Neural Networks"/>
    <s v="MaweuEtAl2021"/>
    <x v="3"/>
    <x v="1"/>
    <x v="0"/>
    <x v="57"/>
    <s v="TRTS Recall"/>
    <x v="1"/>
    <x v="1"/>
    <m/>
  </r>
  <r>
    <n v="128"/>
    <s v="PVS-GEN: Systematic Approach for Universal Synthetic Data Generation Involving Parameterization, Verification, and Segmentation"/>
    <s v="KimAndKwakEtAl2024"/>
    <x v="3"/>
    <x v="0"/>
    <x v="1"/>
    <x v="58"/>
    <s v="Attribute Minimum"/>
    <x v="1"/>
    <x v="2"/>
    <m/>
  </r>
  <r>
    <n v="129"/>
    <s v="PVS-GEN: Systematic Approach for Universal Synthetic Data Generation Involving Parameterization, Verification, and Segmentation"/>
    <s v="KimAndKwakEtAl2024"/>
    <x v="3"/>
    <x v="0"/>
    <x v="1"/>
    <x v="59"/>
    <s v="Attribute Maximum"/>
    <x v="1"/>
    <x v="2"/>
    <m/>
  </r>
  <r>
    <n v="130"/>
    <s v="PVS-GEN: Systematic Approach for Universal Synthetic Data Generation Involving Parameterization, Verification, and Segmentation"/>
    <s v="KimAndKwakEtAl2024"/>
    <x v="3"/>
    <x v="0"/>
    <x v="1"/>
    <x v="40"/>
    <s v="Attribute Median"/>
    <x v="1"/>
    <x v="2"/>
    <m/>
  </r>
  <r>
    <n v="131"/>
    <s v="PVS-GEN: Systematic Approach for Universal Synthetic Data Generation Involving Parameterization, Verification, and Segmentation"/>
    <s v="KimAndKwakEtAl2024"/>
    <x v="3"/>
    <x v="0"/>
    <x v="1"/>
    <x v="39"/>
    <s v="Attribute Mean"/>
    <x v="1"/>
    <x v="2"/>
    <m/>
  </r>
  <r>
    <n v="132"/>
    <s v="PVS-GEN: Systematic Approach for Universal Synthetic Data Generation Involving Parameterization, Verification, and Segmentation"/>
    <s v="KimAndKwakEtAl2024"/>
    <x v="3"/>
    <x v="0"/>
    <x v="1"/>
    <x v="60"/>
    <s v="Attribute StdDev"/>
    <x v="1"/>
    <x v="2"/>
    <m/>
  </r>
  <r>
    <n v="133"/>
    <s v="PVS-GEN: Systematic Approach for Universal Synthetic Data Generation Involving Parameterization, Verification, and Segmentation"/>
    <s v="KimAndKwakEtAl2024"/>
    <x v="3"/>
    <x v="0"/>
    <x v="1"/>
    <x v="61"/>
    <s v="Attribute Plot"/>
    <x v="0"/>
    <x v="0"/>
    <m/>
  </r>
  <r>
    <n v="134"/>
    <s v="PVS-GEN: Systematic Approach for Universal Synthetic Data Generation Involving Parameterization, Verification, and Segmentation"/>
    <s v="KimAndKwakEtAl2024"/>
    <x v="3"/>
    <x v="0"/>
    <x v="1"/>
    <x v="62"/>
    <s v="Possibility of reproducibility"/>
    <x v="1"/>
    <x v="2"/>
    <m/>
  </r>
  <r>
    <n v="135"/>
    <s v="PVS-GEN: Systematic Approach for Universal Synthetic Data Generation Involving Parameterization, Verification, and Segmentation"/>
    <s v="KimAndKwakEtAl2024"/>
    <x v="3"/>
    <x v="0"/>
    <x v="1"/>
    <x v="63"/>
    <s v="Execution Time"/>
    <x v="1"/>
    <x v="3"/>
    <m/>
  </r>
  <r>
    <n v="136"/>
    <s v="A Synthetic Time-Series Generation Using a Variational Recurrent Autoencoder with an Attention Mechanism in an Industrial Control System"/>
    <s v="JeonAndSeoEtAl2024"/>
    <x v="2"/>
    <x v="0"/>
    <x v="1"/>
    <x v="51"/>
    <s v="PCA"/>
    <x v="0"/>
    <x v="0"/>
    <m/>
  </r>
  <r>
    <n v="137"/>
    <s v="A Synthetic Time-Series Generation Using a Variational Recurrent Autoencoder with an Attention Mechanism in an Industrial Control System"/>
    <s v="JeonAndSeoEtAl2024"/>
    <x v="2"/>
    <x v="0"/>
    <x v="1"/>
    <x v="19"/>
    <s v="tSNE"/>
    <x v="0"/>
    <x v="0"/>
    <m/>
  </r>
  <r>
    <n v="138"/>
    <s v="A Synthetic Time-Series Generation Using a Variational Recurrent Autoencoder with an Attention Mechanism in an Industrial Control System"/>
    <s v="JeonAndSeoEtAl2024"/>
    <x v="2"/>
    <x v="0"/>
    <x v="1"/>
    <x v="61"/>
    <s v="Attribute Plot"/>
    <x v="0"/>
    <x v="2"/>
    <m/>
  </r>
  <r>
    <n v="139"/>
    <s v="Causal Recurrent Variational Autoencoder for Medical Time Series Generation"/>
    <s v="LiAndYu2023"/>
    <x v="2"/>
    <x v="0"/>
    <x v="1"/>
    <x v="19"/>
    <s v="tSNE"/>
    <x v="0"/>
    <x v="0"/>
    <m/>
  </r>
  <r>
    <n v="140"/>
    <s v="Causal Recurrent Variational Autoencoder for Medical Time Series Generation"/>
    <s v="LiAndYu2023"/>
    <x v="2"/>
    <x v="0"/>
    <x v="1"/>
    <x v="7"/>
    <s v="Gaussian Kernel"/>
    <x v="2"/>
    <x v="2"/>
    <m/>
  </r>
  <r>
    <n v="141"/>
    <s v="Causal Recurrent Variational Autoencoder for Medical Time Series Generation"/>
    <s v="LiAndYu2023"/>
    <x v="2"/>
    <x v="1"/>
    <x v="0"/>
    <x v="1"/>
    <s v="TSTR RMSE"/>
    <x v="1"/>
    <x v="1"/>
    <m/>
  </r>
  <r>
    <n v="142"/>
    <s v="TRGAN: A Time-Dependent Generative Adversarial Network for Synthetic Transactional Data Generation"/>
    <s v="ZakharovEtAl2024"/>
    <x v="2"/>
    <x v="0"/>
    <x v="1"/>
    <x v="61"/>
    <s v="Attribute Plot"/>
    <x v="0"/>
    <x v="2"/>
    <m/>
  </r>
  <r>
    <n v="143"/>
    <s v="TRGAN: A Time-Dependent Generative Adversarial Network for Synthetic Transactional Data Generation"/>
    <s v="ZakharovEtAl2024"/>
    <x v="2"/>
    <x v="0"/>
    <x v="1"/>
    <x v="39"/>
    <s v="Attribute Mean"/>
    <x v="1"/>
    <x v="2"/>
    <m/>
  </r>
  <r>
    <n v="144"/>
    <s v="TRGAN: A Time-Dependent Generative Adversarial Network for Synthetic Transactional Data Generation"/>
    <s v="ZakharovEtAl2024"/>
    <x v="2"/>
    <x v="0"/>
    <x v="1"/>
    <x v="64"/>
    <s v="Attribute StdDev"/>
    <x v="1"/>
    <x v="2"/>
    <m/>
  </r>
  <r>
    <n v="145"/>
    <s v="TRGAN: A Time-Dependent Generative Adversarial Network for Synthetic Transactional Data Generation"/>
    <s v="ZakharovEtAl2024"/>
    <x v="2"/>
    <x v="0"/>
    <x v="1"/>
    <x v="65"/>
    <s v="Attribute Kurtosis"/>
    <x v="1"/>
    <x v="2"/>
    <m/>
  </r>
  <r>
    <n v="146"/>
    <s v="TRGAN: A Time-Dependent Generative Adversarial Network for Synthetic Transactional Data Generation"/>
    <s v="ZakharovEtAl2024"/>
    <x v="2"/>
    <x v="0"/>
    <x v="1"/>
    <x v="66"/>
    <s v="Attribute Skewness"/>
    <x v="1"/>
    <x v="2"/>
    <m/>
  </r>
  <r>
    <n v="147"/>
    <s v="TRGAN: A Time-Dependent Generative Adversarial Network for Synthetic Transactional Data Generation"/>
    <s v="ZakharovEtAl2024"/>
    <x v="2"/>
    <x v="0"/>
    <x v="1"/>
    <x v="45"/>
    <s v="Attribute"/>
    <x v="11"/>
    <x v="2"/>
    <m/>
  </r>
  <r>
    <n v="148"/>
    <s v="TRGAN: A Time-Dependent Generative Adversarial Network for Synthetic Transactional Data Generation"/>
    <s v="ZakharovEtAl2024"/>
    <x v="2"/>
    <x v="0"/>
    <x v="1"/>
    <x v="50"/>
    <s v="Attribute"/>
    <x v="14"/>
    <x v="2"/>
    <m/>
  </r>
  <r>
    <n v="149"/>
    <s v="Synthetic Financial Time Series Generation with Regime Clustering"/>
    <s v="ZakharovEtAl2023"/>
    <x v="3"/>
    <x v="0"/>
    <x v="1"/>
    <x v="67"/>
    <s v="QQ Plot"/>
    <x v="0"/>
    <x v="2"/>
    <m/>
  </r>
  <r>
    <n v="150"/>
    <s v="Synthetic Financial Time Series Generation with Regime Clustering"/>
    <s v="ZakharovEtAl2023"/>
    <x v="3"/>
    <x v="1"/>
    <x v="1"/>
    <x v="32"/>
    <s v="Autocorrelation Plot"/>
    <x v="0"/>
    <x v="2"/>
    <m/>
  </r>
  <r>
    <n v="151"/>
    <s v="Synthetic Financial Time Series Generation with Regime Clustering"/>
    <s v="ZakharovEtAl2023"/>
    <x v="3"/>
    <x v="1"/>
    <x v="0"/>
    <x v="1"/>
    <s v="TSTR MSE"/>
    <x v="1"/>
    <x v="1"/>
    <m/>
  </r>
  <r>
    <n v="152"/>
    <s v="Synthetic Financial Time Series Generation with Regime Clustering"/>
    <s v="ZakharovEtAl2023"/>
    <x v="3"/>
    <x v="0"/>
    <x v="1"/>
    <x v="66"/>
    <s v="Skewness"/>
    <x v="1"/>
    <x v="2"/>
    <m/>
  </r>
  <r>
    <n v="153"/>
    <s v="Synthetic Financial Time Series Generation with Regime Clustering"/>
    <s v="ZakharovEtAl2023"/>
    <x v="3"/>
    <x v="0"/>
    <x v="1"/>
    <x v="65"/>
    <s v="Kurtosis"/>
    <x v="1"/>
    <x v="2"/>
    <m/>
  </r>
  <r>
    <n v="154"/>
    <s v="Synthetic Financial Time Series Generation with Regime Clustering"/>
    <s v="ZakharovEtAl2023"/>
    <x v="3"/>
    <x v="0"/>
    <x v="1"/>
    <x v="45"/>
    <s v="Attribute"/>
    <x v="11"/>
    <x v="2"/>
    <m/>
  </r>
  <r>
    <n v="155"/>
    <s v="Synthetic Financial Time Series Generation with Regime Clustering"/>
    <s v="ZakharovEtAl2023"/>
    <x v="3"/>
    <x v="0"/>
    <x v="1"/>
    <x v="68"/>
    <s v="Attribute"/>
    <x v="7"/>
    <x v="2"/>
    <m/>
  </r>
  <r>
    <n v="156"/>
    <s v="Synthetic Financial Time Series Generation with Regime Clustering"/>
    <s v="ZakharovEtAl2023"/>
    <x v="3"/>
    <x v="1"/>
    <x v="1"/>
    <x v="69"/>
    <s v="Spectral Density"/>
    <x v="1"/>
    <x v="2"/>
    <m/>
  </r>
  <r>
    <n v="157"/>
    <s v="Improving Time Series Generation of GANs through Soft Dynamic Time Warping Loss"/>
    <s v="YuAndKarray2022"/>
    <x v="2"/>
    <x v="0"/>
    <x v="1"/>
    <x v="51"/>
    <s v="PCA"/>
    <x v="0"/>
    <x v="0"/>
    <m/>
  </r>
  <r>
    <n v="158"/>
    <s v="Improving Time Series Generation of GANs through Soft Dynamic Time Warping Loss"/>
    <s v="YuAndKarray2022"/>
    <x v="2"/>
    <x v="0"/>
    <x v="1"/>
    <x v="19"/>
    <s v="tSNE"/>
    <x v="0"/>
    <x v="0"/>
    <m/>
  </r>
  <r>
    <n v="159"/>
    <s v="Improving Time Series Generation of GANs through Soft Dynamic Time Warping Loss"/>
    <s v="YuAndKarray2022"/>
    <x v="2"/>
    <x v="1"/>
    <x v="0"/>
    <x v="55"/>
    <s v="Discrimination"/>
    <x v="4"/>
    <x v="0"/>
    <m/>
  </r>
  <r>
    <n v="160"/>
    <s v="Time-series Generative Adversarial Networks"/>
    <s v="YoonEtAl2019"/>
    <x v="2"/>
    <x v="0"/>
    <x v="1"/>
    <x v="51"/>
    <s v="PCA"/>
    <x v="0"/>
    <x v="0"/>
    <m/>
  </r>
  <r>
    <n v="161"/>
    <s v="Time-series Generative Adversarial Networks"/>
    <s v="YoonEtAl2019"/>
    <x v="2"/>
    <x v="0"/>
    <x v="1"/>
    <x v="19"/>
    <s v="tSNE"/>
    <x v="0"/>
    <x v="0"/>
    <m/>
  </r>
  <r>
    <n v="162"/>
    <s v="Time-series Generative Adversarial Networks"/>
    <s v="YoonEtAl2019"/>
    <x v="2"/>
    <x v="1"/>
    <x v="0"/>
    <x v="55"/>
    <s v="Discrimination"/>
    <x v="4"/>
    <x v="0"/>
    <m/>
  </r>
  <r>
    <n v="163"/>
    <s v="Time-series Generative Adversarial Networks"/>
    <s v="YoonEtAl2019"/>
    <x v="2"/>
    <x v="1"/>
    <x v="0"/>
    <x v="1"/>
    <s v="TSTR MAE"/>
    <x v="1"/>
    <x v="1"/>
    <m/>
  </r>
  <r>
    <n v="164"/>
    <s v="Qualitative and Quantitative Evaluation of Multivariate Time-Series Synthetic Data Generated Using MTS-TGAN: A Novel Approach"/>
    <s v="YadavEtAl2023"/>
    <x v="2"/>
    <x v="0"/>
    <x v="1"/>
    <x v="51"/>
    <s v="PCA"/>
    <x v="0"/>
    <x v="0"/>
    <m/>
  </r>
  <r>
    <n v="165"/>
    <s v="Qualitative and Quantitative Evaluation of Multivariate Time-Series Synthetic Data Generated Using MTS-TGAN: A Novel Approach"/>
    <s v="YadavEtAl2023"/>
    <x v="2"/>
    <x v="0"/>
    <x v="1"/>
    <x v="19"/>
    <s v="tSNE"/>
    <x v="0"/>
    <x v="0"/>
    <m/>
  </r>
  <r>
    <n v="166"/>
    <s v="Qualitative and Quantitative Evaluation of Multivariate Time-Series Synthetic Data Generated Using MTS-TGAN: A Novel Approach"/>
    <s v="YadavEtAl2023"/>
    <x v="2"/>
    <x v="1"/>
    <x v="0"/>
    <x v="55"/>
    <s v="Discrimination"/>
    <x v="4"/>
    <x v="0"/>
    <m/>
  </r>
  <r>
    <n v="167"/>
    <s v="Qualitative and Quantitative Evaluation of Multivariate Time-Series Synthetic Data Generated Using MTS-TGAN: A Novel Approach"/>
    <s v="YadavEtAl2023"/>
    <x v="2"/>
    <x v="1"/>
    <x v="0"/>
    <x v="1"/>
    <s v="TSTR MAE"/>
    <x v="1"/>
    <x v="1"/>
    <s v="Predictive Score"/>
  </r>
  <r>
    <n v="168"/>
    <s v="Synthesizing Tabular Data using Generative Adversarial Networks"/>
    <s v="Xu2018"/>
    <x v="4"/>
    <x v="1"/>
    <x v="0"/>
    <x v="17"/>
    <s v="TMTR Accuracy"/>
    <x v="1"/>
    <x v="1"/>
    <m/>
  </r>
  <r>
    <n v="169"/>
    <s v="Synthesizing Tabular Data using Generative Adversarial Networks"/>
    <s v="Xu2018"/>
    <x v="4"/>
    <x v="0"/>
    <x v="1"/>
    <x v="70"/>
    <s v="Mutual Information"/>
    <x v="19"/>
    <x v="2"/>
    <m/>
  </r>
  <r>
    <n v="170"/>
    <s v="Synthesizing Tabular Data using Generative Adversarial Networks"/>
    <s v="Xu2018"/>
    <x v="4"/>
    <x v="0"/>
    <x v="1"/>
    <x v="70"/>
    <s v="Mutual Information"/>
    <x v="12"/>
    <x v="2"/>
    <m/>
  </r>
  <r>
    <n v="171"/>
    <s v="Modeling Tabular data using Conditional GAN"/>
    <s v="XuEtAl2019"/>
    <x v="4"/>
    <x v="0"/>
    <x v="1"/>
    <x v="71"/>
    <s v="Likelihood fitness"/>
    <x v="1"/>
    <x v="2"/>
    <s v="The oracle of the real data is needed."/>
  </r>
  <r>
    <n v="172"/>
    <s v="Modeling Tabular data using Conditional GAN"/>
    <s v="XuEtAl2020"/>
    <x v="4"/>
    <x v="1"/>
    <x v="0"/>
    <x v="1"/>
    <s v="TSTR Accuracy"/>
    <x v="1"/>
    <x v="1"/>
    <m/>
  </r>
  <r>
    <n v="173"/>
    <s v="Modeling Tabular data using Conditional GAN"/>
    <s v="XuEtAl2021"/>
    <x v="4"/>
    <x v="1"/>
    <x v="0"/>
    <x v="1"/>
    <s v="TSTR F1"/>
    <x v="1"/>
    <x v="1"/>
    <m/>
  </r>
  <r>
    <n v="174"/>
    <s v="Modeling Tabular data using Conditional GAN"/>
    <s v="XuEtAl2022"/>
    <x v="4"/>
    <x v="1"/>
    <x v="0"/>
    <x v="1"/>
    <s v="TSTR R2"/>
    <x v="1"/>
    <x v="1"/>
    <m/>
  </r>
  <r>
    <n v="175"/>
    <s v="IH-TCGAN: Time-Series Conditional Generative Adversarial Network with Improved Hausdorff Distance for Synthesizing Intention Recognition Data"/>
    <s v="WangEtAl2023"/>
    <x v="2"/>
    <x v="0"/>
    <x v="1"/>
    <x v="19"/>
    <s v="tSNE"/>
    <x v="0"/>
    <x v="0"/>
    <m/>
  </r>
  <r>
    <n v="176"/>
    <s v="IH-TCGAN: Time-Series Conditional Generative Adversarial Network with Improved Hausdorff Distance for Synthesizing Intention Recognition Data"/>
    <s v="WangEtAl2023"/>
    <x v="2"/>
    <x v="1"/>
    <x v="0"/>
    <x v="55"/>
    <s v="Discrimination"/>
    <x v="1"/>
    <x v="0"/>
    <m/>
  </r>
  <r>
    <n v="177"/>
    <s v="IH-TCGAN: Time-Series Conditional Generative Adversarial Network with Improved Hausdorff Distance for Synthesizing Intention Recognition Data"/>
    <s v="WangEtAl2023"/>
    <x v="2"/>
    <x v="1"/>
    <x v="0"/>
    <x v="1"/>
    <s v="TSTR Precision"/>
    <x v="1"/>
    <x v="1"/>
    <m/>
  </r>
  <r>
    <n v="178"/>
    <s v="IH-TCGAN: Time-Series Conditional Generative Adversarial Network with Improved Hausdorff Distance for Synthesizing Intention Recognition Data"/>
    <s v="WangEtAl2023"/>
    <x v="2"/>
    <x v="1"/>
    <x v="0"/>
    <x v="1"/>
    <s v="TSTR Recall"/>
    <x v="1"/>
    <x v="1"/>
    <m/>
  </r>
  <r>
    <n v="179"/>
    <s v="IH-TCGAN: Time-Series Conditional Generative Adversarial Network with Improved Hausdorff Distance for Synthesizing Intention Recognition Data"/>
    <s v="WangEtAl2023"/>
    <x v="2"/>
    <x v="1"/>
    <x v="0"/>
    <x v="1"/>
    <s v="TSTR F1"/>
    <x v="1"/>
    <x v="1"/>
    <m/>
  </r>
  <r>
    <n v="180"/>
    <s v="IH-TCGAN: Time-Series Conditional Generative Adversarial Network with Improved Hausdorff Distance for Synthesizing Intention Recognition Data"/>
    <s v="WangEtAl2023"/>
    <x v="2"/>
    <x v="1"/>
    <x v="0"/>
    <x v="1"/>
    <s v="TSTR MAE"/>
    <x v="1"/>
    <x v="1"/>
    <m/>
  </r>
  <r>
    <n v="181"/>
    <s v="A generative adversarial networks based methodology for imbalanced multidimensional time-series augmentation of complex electromechanical systems"/>
    <s v="WangEtAl2024"/>
    <x v="2"/>
    <x v="0"/>
    <x v="1"/>
    <x v="19"/>
    <s v="tSNE"/>
    <x v="0"/>
    <x v="0"/>
    <m/>
  </r>
  <r>
    <n v="182"/>
    <s v="A generative adversarial networks based methodology for imbalanced multidimensional time-series augmentation of complex electromechanical systems"/>
    <s v="WangEtAl2024"/>
    <x v="2"/>
    <x v="0"/>
    <x v="1"/>
    <x v="7"/>
    <s v="Hilbert Kernel"/>
    <x v="2"/>
    <x v="2"/>
    <m/>
  </r>
  <r>
    <n v="183"/>
    <s v="A generative adversarial networks based methodology for imbalanced multidimensional time-series augmentation of complex electromechanical systems"/>
    <s v="WangEtAl2024"/>
    <x v="2"/>
    <x v="1"/>
    <x v="1"/>
    <x v="32"/>
    <s v="Par"/>
    <x v="1"/>
    <x v="0"/>
    <m/>
  </r>
  <r>
    <n v="184"/>
    <s v="A generative adversarial networks based methodology for imbalanced multidimensional time-series augmentation of complex electromechanical systems"/>
    <s v="WangEtAl2024"/>
    <x v="2"/>
    <x v="0"/>
    <x v="1"/>
    <x v="72"/>
    <s v="Spearman correlation coefficient"/>
    <x v="4"/>
    <x v="2"/>
    <m/>
  </r>
  <r>
    <n v="185"/>
    <s v="A generative adversarial networks based methodology for imbalanced multidimensional time-series augmentation of complex electromechanical systems"/>
    <s v="WangEtAl2024"/>
    <x v="2"/>
    <x v="0"/>
    <x v="1"/>
    <x v="73"/>
    <s v="Information entropy"/>
    <x v="1"/>
    <x v="2"/>
    <m/>
  </r>
  <r>
    <n v="186"/>
    <s v="A generative adversarial networks based methodology for imbalanced multidimensional time-series augmentation of complex electromechanical systems"/>
    <s v="WangEtAl2024"/>
    <x v="2"/>
    <x v="0"/>
    <x v="0"/>
    <x v="3"/>
    <s v="Complex network-based clustering coefficient"/>
    <x v="1"/>
    <x v="2"/>
    <m/>
  </r>
  <r>
    <n v="187"/>
    <s v="AEC-GAN: Adversarial Error Correction GANs for Auto-Regressive Long Time-Series Generation"/>
    <s v="WangEtAl2023"/>
    <x v="2"/>
    <x v="1"/>
    <x v="1"/>
    <x v="32"/>
    <s v="Autocorrelation"/>
    <x v="1"/>
    <x v="0"/>
    <m/>
  </r>
  <r>
    <n v="188"/>
    <s v="AEC-GAN: Adversarial Error Correction GANs for Auto-Regressive Long Time-Series Generation"/>
    <s v="WangEtAl2023"/>
    <x v="2"/>
    <x v="0"/>
    <x v="1"/>
    <x v="66"/>
    <s v="Skewness"/>
    <x v="1"/>
    <x v="2"/>
    <m/>
  </r>
  <r>
    <n v="189"/>
    <s v="AEC-GAN: Adversarial Error Correction GANs for Auto-Regressive Long Time-Series Generation"/>
    <s v="WangEtAl2023"/>
    <x v="2"/>
    <x v="0"/>
    <x v="1"/>
    <x v="65"/>
    <s v="Kurtosis"/>
    <x v="1"/>
    <x v="2"/>
    <m/>
  </r>
  <r>
    <n v="190"/>
    <s v="AEC-GAN: Adversarial Error Correction GANs for Auto-Regressive Long Time-Series Generation"/>
    <s v="WangEtAl2023"/>
    <x v="2"/>
    <x v="0"/>
    <x v="1"/>
    <x v="36"/>
    <s v="Frechet Inception Distance"/>
    <x v="4"/>
    <x v="2"/>
    <m/>
  </r>
  <r>
    <n v="191"/>
    <s v="AEC-GAN: Adversarial Error Correction GANs for Auto-Regressive Long Time-Series Generation"/>
    <s v="WangEtAl2023"/>
    <x v="2"/>
    <x v="0"/>
    <x v="1"/>
    <x v="19"/>
    <s v="tSNE"/>
    <x v="0"/>
    <x v="0"/>
    <m/>
  </r>
  <r>
    <n v="192"/>
    <s v="Differentially private synthetic medical data generation using convolutional GANs"/>
    <s v="TorfiEtAl2022"/>
    <x v="2"/>
    <x v="0"/>
    <x v="1"/>
    <x v="74"/>
    <s v="Sample"/>
    <x v="2"/>
    <x v="2"/>
    <m/>
  </r>
  <r>
    <n v="193"/>
    <s v="Differentially private synthetic medical data generation using convolutional GANs"/>
    <s v="TorfiEtAl2022"/>
    <x v="2"/>
    <x v="1"/>
    <x v="0"/>
    <x v="1"/>
    <s v="TSTR F1"/>
    <x v="1"/>
    <x v="1"/>
    <s v="Artificial utility benchmark where model is trained on predicting one dimension based on all others."/>
  </r>
  <r>
    <n v="194"/>
    <s v="Differentially private synthetic medical data generation using convolutional GANs"/>
    <s v="TorfiEtAl2022"/>
    <x v="2"/>
    <x v="1"/>
    <x v="0"/>
    <x v="1"/>
    <s v="TSTR AUC"/>
    <x v="1"/>
    <x v="1"/>
    <m/>
  </r>
  <r>
    <n v="195"/>
    <s v="Differentially private synthetic medical data generation using convolutional GANs"/>
    <s v="TorfiEtAl2022"/>
    <x v="2"/>
    <x v="1"/>
    <x v="0"/>
    <x v="1"/>
    <s v="TSTR AUCPRC"/>
    <x v="1"/>
    <x v="1"/>
    <m/>
  </r>
  <r>
    <n v="196"/>
    <s v="ECGAN: Self-supervised Generative Adversarial Network for Electrocardiography"/>
    <s v="SimoneAndBacciuEtAl2023"/>
    <x v="3"/>
    <x v="0"/>
    <x v="1"/>
    <x v="36"/>
    <s v="Frechet Inception Distance"/>
    <x v="4"/>
    <x v="2"/>
    <m/>
  </r>
  <r>
    <n v="197"/>
    <s v="ECGAN: Self-supervised Generative Adversarial Network for Electrocardiography"/>
    <s v="SimoneAndBacciuEtAl2023"/>
    <x v="3"/>
    <x v="0"/>
    <x v="1"/>
    <x v="75"/>
    <s v="Inception Score"/>
    <x v="1"/>
    <x v="0"/>
    <m/>
  </r>
  <r>
    <n v="198"/>
    <s v="ECGAN: Self-supervised Generative Adversarial Network for Electrocardiography"/>
    <s v="SimoneAndBacciuEtAl2023"/>
    <x v="3"/>
    <x v="0"/>
    <x v="1"/>
    <x v="74"/>
    <s v="Sample"/>
    <x v="2"/>
    <x v="2"/>
    <m/>
  </r>
  <r>
    <n v="199"/>
    <s v="ECGAN: Self-supervised Generative Adversarial Network for Electrocardiography"/>
    <s v="SimoneAndBacciuEtAl2023"/>
    <x v="3"/>
    <x v="0"/>
    <x v="1"/>
    <x v="50"/>
    <s v="Wasserstein Distance"/>
    <x v="4"/>
    <x v="0"/>
    <m/>
  </r>
  <r>
    <n v="200"/>
    <s v="Smart Home Energy Management: VAE-GAN Synthetic Dataset Generator and Q-Learning"/>
    <s v="RazghandiEtAl2024"/>
    <x v="3"/>
    <x v="0"/>
    <x v="1"/>
    <x v="16"/>
    <s v="Kullback-Leibler Divergence"/>
    <x v="4"/>
    <x v="2"/>
    <m/>
  </r>
  <r>
    <n v="201"/>
    <s v="Smart Home Energy Management: VAE-GAN Synthetic Dataset Generator and Q-Learning"/>
    <s v="RazghandiEtAl2024"/>
    <x v="3"/>
    <x v="0"/>
    <x v="1"/>
    <x v="7"/>
    <s v="Hilbert Kernel"/>
    <x v="2"/>
    <x v="2"/>
    <m/>
  </r>
  <r>
    <n v="202"/>
    <s v="Smart Home Energy Management: VAE-GAN Synthetic Dataset Generator and Q-Learning"/>
    <s v="RazghandiEtAl2024"/>
    <x v="3"/>
    <x v="0"/>
    <x v="1"/>
    <x v="50"/>
    <s v="Wasserstein Distance"/>
    <x v="4"/>
    <x v="0"/>
    <m/>
  </r>
  <r>
    <n v="203"/>
    <s v="Smart Home Energy Management: VAE-GAN Synthetic Dataset Generator and Q-Learning"/>
    <s v="RazghandiEtAl2024"/>
    <x v="3"/>
    <x v="1"/>
    <x v="0"/>
    <x v="1"/>
    <s v="TSTR Trade Profit"/>
    <x v="1"/>
    <x v="1"/>
    <m/>
  </r>
  <r>
    <n v="204"/>
    <s v="Towards Generating Real-World Time Series Data"/>
    <s v="PeiEtAl2021"/>
    <x v="3"/>
    <x v="1"/>
    <x v="0"/>
    <x v="55"/>
    <s v="Discrimination"/>
    <x v="1"/>
    <x v="0"/>
    <m/>
  </r>
  <r>
    <n v="205"/>
    <s v="Towards Generating Real-World Time Series Data"/>
    <s v="PeiEtAl2021"/>
    <x v="3"/>
    <x v="1"/>
    <x v="0"/>
    <x v="1"/>
    <s v="TSTR MAE"/>
    <x v="1"/>
    <x v="1"/>
    <m/>
  </r>
  <r>
    <n v="206"/>
    <s v="Towards Generating Real-World Time Series Data"/>
    <s v="PeiEtAl2021"/>
    <x v="3"/>
    <x v="1"/>
    <x v="0"/>
    <x v="1"/>
    <s v="TSTR AUC"/>
    <x v="1"/>
    <x v="1"/>
    <m/>
  </r>
  <r>
    <n v="207"/>
    <s v="Towards Generating Real-World Time Series Data"/>
    <s v="PeiEtAl2021"/>
    <x v="3"/>
    <x v="0"/>
    <x v="1"/>
    <x v="19"/>
    <s v="tSNE"/>
    <x v="0"/>
    <x v="0"/>
    <m/>
  </r>
  <r>
    <n v="208"/>
    <s v="Towards Generating Real-World Time Series Data"/>
    <s v="PeiEtAl2021"/>
    <x v="3"/>
    <x v="0"/>
    <x v="1"/>
    <x v="51"/>
    <s v="PCA"/>
    <x v="0"/>
    <x v="0"/>
    <m/>
  </r>
  <r>
    <n v="209"/>
    <s v="Towards Generating Real-World Time Series Data"/>
    <s v="PeiEtAl2021"/>
    <x v="3"/>
    <x v="0"/>
    <x v="1"/>
    <x v="44"/>
    <s v="Pearson Correlation Attributes Plot"/>
    <x v="0"/>
    <x v="2"/>
    <m/>
  </r>
  <r>
    <n v="210"/>
    <s v="ETGAN: A Hybrid GAN Ensemble for Synthesizing Time-Dependent and Static Tabular Data"/>
    <s v="ParsiEtAl2024"/>
    <x v="3"/>
    <x v="0"/>
    <x v="1"/>
    <x v="70"/>
    <s v="Mutual Information"/>
    <x v="12"/>
    <x v="2"/>
    <m/>
  </r>
  <r>
    <n v="211"/>
    <s v="ETGAN: A Hybrid GAN Ensemble for Synthesizing Time-Dependent and Static Tabular Data"/>
    <s v="ParsiEtAl2024"/>
    <x v="3"/>
    <x v="0"/>
    <x v="1"/>
    <x v="52"/>
    <s v="Cross Correlation"/>
    <x v="12"/>
    <x v="0"/>
    <m/>
  </r>
  <r>
    <n v="212"/>
    <s v="ETGAN: A Hybrid GAN Ensemble for Synthesizing Time-Dependent and Static Tabular Data"/>
    <s v="ParsiEtAl2024"/>
    <x v="3"/>
    <x v="1"/>
    <x v="1"/>
    <x v="47"/>
    <s v="Attribute"/>
    <x v="12"/>
    <x v="0"/>
    <m/>
  </r>
  <r>
    <n v="213"/>
    <s v="ETGAN: A Hybrid GAN Ensemble for Synthesizing Time-Dependent and Static Tabular Data"/>
    <s v="ParsiEtAl2024"/>
    <x v="3"/>
    <x v="0"/>
    <x v="1"/>
    <x v="45"/>
    <s v="Attribute"/>
    <x v="11"/>
    <x v="2"/>
    <m/>
  </r>
  <r>
    <n v="214"/>
    <s v="ETGAN: A Hybrid GAN Ensemble for Synthesizing Time-Dependent and Static Tabular Data"/>
    <s v="ParsiEtAl2024"/>
    <x v="3"/>
    <x v="0"/>
    <x v="1"/>
    <x v="19"/>
    <s v="tSNE"/>
    <x v="0"/>
    <x v="0"/>
    <m/>
  </r>
  <r>
    <n v="215"/>
    <s v="ETGAN: A Hybrid GAN Ensemble for Synthesizing Time-Dependent and Static Tabular Data"/>
    <s v="ParsiEtAl2024"/>
    <x v="3"/>
    <x v="0"/>
    <x v="1"/>
    <x v="51"/>
    <s v="PCA"/>
    <x v="0"/>
    <x v="0"/>
    <m/>
  </r>
  <r>
    <n v="216"/>
    <s v="5GT-GAN: Enhancing Data Augmentation for 5G-Enabled Mobile Edge Computing in Smart Cities"/>
    <s v="PandeyEtAl2023"/>
    <x v="2"/>
    <x v="0"/>
    <x v="1"/>
    <x v="19"/>
    <s v="tSNE"/>
    <x v="0"/>
    <x v="0"/>
    <m/>
  </r>
  <r>
    <n v="217"/>
    <s v="5GT-GAN: Enhancing Data Augmentation for 5G-Enabled Mobile Edge Computing in Smart Cities"/>
    <s v="PandeyEtAl2023"/>
    <x v="2"/>
    <x v="0"/>
    <x v="1"/>
    <x v="51"/>
    <s v="PCA"/>
    <x v="0"/>
    <x v="0"/>
    <m/>
  </r>
  <r>
    <n v="218"/>
    <s v="5GT-GAN: Enhancing Data Augmentation for 5G-Enabled Mobile Edge Computing in Smart Cities"/>
    <s v="PandeyEtAl2023"/>
    <x v="2"/>
    <x v="1"/>
    <x v="0"/>
    <x v="1"/>
    <s v="TSTR MAE"/>
    <x v="1"/>
    <x v="1"/>
    <m/>
  </r>
  <r>
    <n v="219"/>
    <s v="5GT-GAN: Enhancing Data Augmentation for 5G-Enabled Mobile Edge Computing in Smart Cities"/>
    <s v="PandeyEtAl2023"/>
    <x v="2"/>
    <x v="1"/>
    <x v="0"/>
    <x v="57"/>
    <s v="TRTS MAE"/>
    <x v="1"/>
    <x v="1"/>
    <m/>
  </r>
  <r>
    <n v="220"/>
    <s v="5GT-GAN: Enhancing Data Augmentation for 5G-Enabled Mobile Edge Computing in Smart Cities"/>
    <s v="PandeyEtAl2023"/>
    <x v="2"/>
    <x v="1"/>
    <x v="0"/>
    <x v="1"/>
    <s v="TSTR MSLE"/>
    <x v="1"/>
    <x v="1"/>
    <m/>
  </r>
  <r>
    <n v="221"/>
    <s v="5GT-GAN: Enhancing Data Augmentation for 5G-Enabled Mobile Edge Computing in Smart Cities"/>
    <s v="PandeyEtAl2023"/>
    <x v="2"/>
    <x v="1"/>
    <x v="0"/>
    <x v="57"/>
    <s v="TRTS MSLE"/>
    <x v="1"/>
    <x v="1"/>
    <m/>
  </r>
  <r>
    <n v="222"/>
    <s v="5GT-GAN: Enhancing Data Augmentation for 5G-Enabled Mobile Edge Computing in Smart Cities"/>
    <s v="PandeyEtAl2023"/>
    <x v="2"/>
    <x v="0"/>
    <x v="1"/>
    <x v="76"/>
    <s v="Runtime Complexity"/>
    <x v="1"/>
    <x v="3"/>
    <m/>
  </r>
  <r>
    <n v="223"/>
    <s v="5GT-GAN: Enhancing Data Augmentation for 5G-Enabled Mobile Edge Computing in Smart Cities"/>
    <s v="PandeyEtAl2023"/>
    <x v="2"/>
    <x v="1"/>
    <x v="0"/>
    <x v="55"/>
    <s v="Discrimination"/>
    <x v="4"/>
    <x v="0"/>
    <m/>
  </r>
  <r>
    <n v="224"/>
    <s v="5GT-GAN: Enhancing Data Augmentation for 5G-Enabled Mobile Edge Computing in Smart Cities"/>
    <s v="PandeyEtAl2023"/>
    <x v="2"/>
    <x v="1"/>
    <x v="0"/>
    <x v="1"/>
    <s v="TSTR MAE"/>
    <x v="1"/>
    <x v="1"/>
    <s v="Predictive Score"/>
  </r>
  <r>
    <n v="225"/>
    <s v="5GT-GAN: Enhancing Data Augmentation for 5G-Enabled Mobile Edge Computing in Smart Cities"/>
    <s v="PandeyEtAl2023"/>
    <x v="2"/>
    <x v="0"/>
    <x v="1"/>
    <x v="36"/>
    <s v="Frechet Inception Distance"/>
    <x v="4"/>
    <x v="2"/>
    <m/>
  </r>
  <r>
    <n v="226"/>
    <s v="Synthetic Ride-Requests Generation using WGAN with Location Embeddings"/>
    <s v="NookalaEtAl2021"/>
    <x v="0"/>
    <x v="1"/>
    <x v="0"/>
    <x v="77"/>
    <s v="RV Coefficient"/>
    <x v="4"/>
    <x v="2"/>
    <m/>
  </r>
  <r>
    <n v="227"/>
    <s v="Synthetic Ride-Requests Generation using WGAN with Location Embeddings"/>
    <s v="NookalaEtAl2021"/>
    <x v="0"/>
    <x v="1"/>
    <x v="0"/>
    <x v="78"/>
    <s v="Bhattacharyya Distance"/>
    <x v="4"/>
    <x v="2"/>
    <m/>
  </r>
  <r>
    <n v="228"/>
    <s v="Synthetic Ride-Requests Generation using WGAN with Location Embeddings"/>
    <s v="NookalaEtAl2021"/>
    <x v="0"/>
    <x v="1"/>
    <x v="0"/>
    <x v="79"/>
    <s v="Densification Power Law Alpha"/>
    <x v="1"/>
    <x v="2"/>
    <m/>
  </r>
  <r>
    <n v="229"/>
    <s v="Synthetic Ride-Requests Generation using WGAN with Location Embeddings"/>
    <s v="NookalaEtAl2021"/>
    <x v="0"/>
    <x v="1"/>
    <x v="0"/>
    <x v="80"/>
    <s v="Aggregated Attribute"/>
    <x v="19"/>
    <x v="2"/>
    <m/>
  </r>
  <r>
    <n v="230"/>
    <s v="Synthetic Ride-Requests Generation using WGAN with Location Embeddings"/>
    <s v="NookalaEtAl2021"/>
    <x v="0"/>
    <x v="1"/>
    <x v="0"/>
    <x v="80"/>
    <s v="Aggregated Attribute"/>
    <x v="20"/>
    <x v="2"/>
    <m/>
  </r>
  <r>
    <n v="231"/>
    <s v="HAR-STGAN: Human Activity Recognition-Spatial Transformer network for Generative Adversarial Network"/>
    <s v="NianEtAl2024"/>
    <x v="0"/>
    <x v="1"/>
    <x v="0"/>
    <x v="55"/>
    <s v="Discrimination"/>
    <x v="4"/>
    <x v="0"/>
    <m/>
  </r>
  <r>
    <n v="232"/>
    <s v="HAR-STGAN: Human Activity Recognition-Spatial Transformer network for Generative Adversarial Network"/>
    <s v="NianEtAl2024"/>
    <x v="0"/>
    <x v="1"/>
    <x v="0"/>
    <x v="1"/>
    <s v="TSTR MAE"/>
    <x v="1"/>
    <x v="1"/>
    <s v="Predictive Score"/>
  </r>
  <r>
    <n v="233"/>
    <s v="HAR-STGAN: Human Activity Recognition-Spatial Transformer network for Generative Adversarial Network"/>
    <s v="NianEtAl2024"/>
    <x v="0"/>
    <x v="1"/>
    <x v="0"/>
    <x v="1"/>
    <s v="TSTR Accuracy"/>
    <x v="1"/>
    <x v="1"/>
    <m/>
  </r>
  <r>
    <n v="234"/>
    <s v="Sig-wasserstein GANs for time series generation"/>
    <s v="NiEtAl2022"/>
    <x v="2"/>
    <x v="0"/>
    <x v="1"/>
    <x v="81"/>
    <s v="Sig-W1"/>
    <x v="1"/>
    <x v="2"/>
    <m/>
  </r>
  <r>
    <n v="235"/>
    <s v="Sig-wasserstein GANs for time series generation"/>
    <s v="NiEtAl2022"/>
    <x v="2"/>
    <x v="0"/>
    <x v="1"/>
    <x v="50"/>
    <s v="Attribute"/>
    <x v="14"/>
    <x v="2"/>
    <m/>
  </r>
  <r>
    <n v="236"/>
    <s v="Sig-wasserstein GANs for time series generation"/>
    <s v="NiEtAl2022"/>
    <x v="2"/>
    <x v="1"/>
    <x v="1"/>
    <x v="32"/>
    <s v="temporal correlation"/>
    <x v="4"/>
    <x v="0"/>
    <m/>
  </r>
  <r>
    <n v="237"/>
    <s v="Sig-wasserstein GANs for time series generation"/>
    <s v="NiEtAl2022"/>
    <x v="2"/>
    <x v="0"/>
    <x v="1"/>
    <x v="9"/>
    <s v="Training Time"/>
    <x v="1"/>
    <x v="3"/>
    <m/>
  </r>
  <r>
    <n v="238"/>
    <s v="VTCGAN: A Proposed Multimodal Approach to Financial Time Series and Chart Pattern Generation for Algorithmic Trading"/>
    <s v="MtetwaEtAl2023"/>
    <x v="2"/>
    <x v="0"/>
    <x v="1"/>
    <x v="36"/>
    <s v="Frechet Inception Distance"/>
    <x v="4"/>
    <x v="2"/>
    <m/>
  </r>
  <r>
    <n v="239"/>
    <s v="VTCGAN: A Proposed Multimodal Approach to Financial Time Series and Chart Pattern Generation for Algorithmic Trading"/>
    <s v="MtetwaEtAl2023"/>
    <x v="2"/>
    <x v="0"/>
    <x v="1"/>
    <x v="74"/>
    <s v="Sample"/>
    <x v="2"/>
    <x v="2"/>
    <m/>
  </r>
  <r>
    <n v="240"/>
    <s v="VTCGAN: A Proposed Multimodal Approach to Financial Time Series and Chart Pattern Generation for Algorithmic Trading"/>
    <s v="MtetwaEtAl2023"/>
    <x v="2"/>
    <x v="1"/>
    <x v="1"/>
    <x v="82"/>
    <s v="Trading Performance"/>
    <x v="1"/>
    <x v="1"/>
    <m/>
  </r>
  <r>
    <n v="241"/>
    <s v="C-RNN-GAN: Continuous recurrent neural networks with adversarial training"/>
    <s v="Mogren2016"/>
    <x v="3"/>
    <x v="1"/>
    <x v="1"/>
    <x v="83"/>
    <s v="Polyphony"/>
    <x v="1"/>
    <x v="0"/>
    <m/>
  </r>
  <r>
    <n v="242"/>
    <s v="C-RNN-GAN: Continuous recurrent neural networks with adversarial training"/>
    <s v="Mogren2016"/>
    <x v="3"/>
    <x v="1"/>
    <x v="1"/>
    <x v="84"/>
    <s v="Scale consistency"/>
    <x v="1"/>
    <x v="0"/>
    <m/>
  </r>
  <r>
    <n v="243"/>
    <s v="C-RNN-GAN: Continuous recurrent neural networks with adversarial training"/>
    <s v="Mogren2016"/>
    <x v="3"/>
    <x v="1"/>
    <x v="1"/>
    <x v="85"/>
    <s v="Repetitions"/>
    <x v="1"/>
    <x v="0"/>
    <m/>
  </r>
  <r>
    <n v="244"/>
    <s v="C-RNN-GAN: Continuous recurrent neural networks with adversarial training"/>
    <s v="Mogren2016"/>
    <x v="3"/>
    <x v="1"/>
    <x v="1"/>
    <x v="86"/>
    <s v="Tone span"/>
    <x v="1"/>
    <x v="0"/>
    <m/>
  </r>
  <r>
    <n v="245"/>
    <s v="Multi-Label Clinical Time-Series Generation via Conditional GAN"/>
    <s v="LuEtAl2024"/>
    <x v="2"/>
    <x v="1"/>
    <x v="1"/>
    <x v="87"/>
    <s v="Attribute Category"/>
    <x v="21"/>
    <x v="2"/>
    <m/>
  </r>
  <r>
    <n v="246"/>
    <s v="Multi-Label Clinical Time-Series Generation via Conditional GAN"/>
    <s v="LuEtAl2024"/>
    <x v="2"/>
    <x v="0"/>
    <x v="1"/>
    <x v="45"/>
    <s v="Attribute"/>
    <x v="11"/>
    <x v="0"/>
    <m/>
  </r>
  <r>
    <n v="247"/>
    <s v="Multi-Label Clinical Time-Series Generation via Conditional GAN"/>
    <s v="LuEtAl2024"/>
    <x v="2"/>
    <x v="0"/>
    <x v="1"/>
    <x v="88"/>
    <s v="Attribute Group"/>
    <x v="11"/>
    <x v="2"/>
    <m/>
  </r>
  <r>
    <n v="248"/>
    <s v="Multi-Label Clinical Time-Series Generation via Conditional GAN"/>
    <s v="LuEtAl2024"/>
    <x v="2"/>
    <x v="0"/>
    <x v="1"/>
    <x v="89"/>
    <s v="Attribute"/>
    <x v="22"/>
    <x v="0"/>
    <m/>
  </r>
  <r>
    <n v="249"/>
    <s v="Multi-Label Clinical Time-Series Generation via Conditional GAN"/>
    <s v="LuEtAl2024"/>
    <x v="2"/>
    <x v="0"/>
    <x v="1"/>
    <x v="90"/>
    <s v="Attribute Group"/>
    <x v="22"/>
    <x v="2"/>
    <m/>
  </r>
  <r>
    <n v="250"/>
    <s v="Multi-Label Clinical Time-Series Generation via Conditional GAN"/>
    <s v="LuEtAl2024"/>
    <x v="2"/>
    <x v="0"/>
    <x v="1"/>
    <x v="91"/>
    <s v="Required Sample Number"/>
    <x v="1"/>
    <x v="3"/>
    <s v="Generate new samples until the number of unique diseases in the real data is reached."/>
  </r>
  <r>
    <n v="251"/>
    <s v="Conditional-TimeGAN for Realistic and High-Quality Appliance Trajectories Generation and Data Augmentation in Nonintrusive Load Monitoring"/>
    <s v="LiuEtAl2024"/>
    <x v="2"/>
    <x v="0"/>
    <x v="1"/>
    <x v="19"/>
    <s v="tSNE"/>
    <x v="0"/>
    <x v="0"/>
    <m/>
  </r>
  <r>
    <n v="252"/>
    <s v="Conditional-TimeGAN for Realistic and High-Quality Appliance Trajectories Generation and Data Augmentation in Nonintrusive Load Monitoring"/>
    <s v="LiuEtAl2024"/>
    <x v="2"/>
    <x v="0"/>
    <x v="1"/>
    <x v="51"/>
    <s v="PCA"/>
    <x v="0"/>
    <x v="0"/>
    <m/>
  </r>
  <r>
    <n v="253"/>
    <s v="Conditional-TimeGAN for Realistic and High-Quality Appliance Trajectories Generation and Data Augmentation in Nonintrusive Load Monitoring"/>
    <s v="LiuEtAl2024"/>
    <x v="2"/>
    <x v="0"/>
    <x v="1"/>
    <x v="9"/>
    <s v="Time per epoch"/>
    <x v="1"/>
    <x v="3"/>
    <m/>
  </r>
  <r>
    <n v="254"/>
    <s v="Conditional-TimeGAN for Realistic and High-Quality Appliance Trajectories Generation and Data Augmentation in Nonintrusive Load Monitoring"/>
    <s v="LiuEtAl2024"/>
    <x v="2"/>
    <x v="0"/>
    <x v="1"/>
    <x v="36"/>
    <s v="Frechet Inception Distance"/>
    <x v="4"/>
    <x v="2"/>
    <m/>
  </r>
  <r>
    <n v="255"/>
    <s v="Conditional-TimeGAN for Realistic and High-Quality Appliance Trajectories Generation and Data Augmentation in Nonintrusive Load Monitoring"/>
    <s v="LiuEtAl2024"/>
    <x v="2"/>
    <x v="0"/>
    <x v="1"/>
    <x v="50"/>
    <s v="Sliced Wasserstein Distance"/>
    <x v="1"/>
    <x v="2"/>
    <m/>
  </r>
  <r>
    <n v="256"/>
    <s v="Conditional-TimeGAN for Realistic and High-Quality Appliance Trajectories Generation and Data Augmentation in Nonintrusive Load Monitoring"/>
    <s v="LiuEtAl2024"/>
    <x v="2"/>
    <x v="1"/>
    <x v="0"/>
    <x v="55"/>
    <s v="Discrimination"/>
    <x v="1"/>
    <x v="0"/>
    <m/>
  </r>
  <r>
    <n v="257"/>
    <s v="Conditional-TimeGAN for Realistic and High-Quality Appliance Trajectories Generation and Data Augmentation in Nonintrusive Load Monitoring"/>
    <s v="LiuEtAl2024"/>
    <x v="2"/>
    <x v="1"/>
    <x v="0"/>
    <x v="1"/>
    <s v="TSTR MAE"/>
    <x v="1"/>
    <x v="1"/>
    <m/>
  </r>
  <r>
    <n v="258"/>
    <s v="PPGAN: Privacy-Preserving Generative Adversarial Network"/>
    <s v="LiuEtAl2019"/>
    <x v="2"/>
    <x v="0"/>
    <x v="1"/>
    <x v="92"/>
    <s v="Generate scores"/>
    <x v="1"/>
    <x v="2"/>
    <m/>
  </r>
  <r>
    <n v="259"/>
    <s v="Using GANs for Sharing Networked Time Series Data: Challenges, Initial Promise, and Open Questions"/>
    <s v="LinEtAl2020"/>
    <x v="3"/>
    <x v="1"/>
    <x v="1"/>
    <x v="32"/>
    <s v="Autocorrelation"/>
    <x v="15"/>
    <x v="2"/>
    <m/>
  </r>
  <r>
    <n v="260"/>
    <s v="Using GANs for Sharing Networked Time Series Data: Challenges, Initial Promise, and Open Questions"/>
    <s v="LinEtAl2020"/>
    <x v="3"/>
    <x v="0"/>
    <x v="1"/>
    <x v="61"/>
    <s v="Time Series Length Distribution"/>
    <x v="0"/>
    <x v="2"/>
    <m/>
  </r>
  <r>
    <n v="261"/>
    <s v="Using GANs for Sharing Networked Time Series Data: Challenges, Initial Promise, and Open Questions"/>
    <s v="LinEtAl2020"/>
    <x v="3"/>
    <x v="0"/>
    <x v="1"/>
    <x v="44"/>
    <s v="Pearson Correlation Attributes Plot"/>
    <x v="0"/>
    <x v="2"/>
    <m/>
  </r>
  <r>
    <n v="262"/>
    <s v="Using GANs for Sharing Networked Time Series Data: Challenges, Initial Promise, and Open Questions"/>
    <s v="LinEtAl2020"/>
    <x v="3"/>
    <x v="0"/>
    <x v="1"/>
    <x v="50"/>
    <s v="Attribute"/>
    <x v="14"/>
    <x v="2"/>
    <m/>
  </r>
  <r>
    <n v="263"/>
    <s v="Using GANs for Sharing Networked Time Series Data: Challenges, Initial Promise, and Open Questions"/>
    <s v="LinEtAl2020"/>
    <x v="3"/>
    <x v="0"/>
    <x v="1"/>
    <x v="35"/>
    <s v="Distance to NN in Training Data"/>
    <x v="15"/>
    <x v="4"/>
    <m/>
  </r>
  <r>
    <n v="264"/>
    <s v="Using GANs for Sharing Networked Time Series Data: Challenges, Initial Promise, and Open Questions"/>
    <s v="LinEtAl2020"/>
    <x v="3"/>
    <x v="0"/>
    <x v="1"/>
    <x v="9"/>
    <s v="Training Time"/>
    <x v="1"/>
    <x v="3"/>
    <m/>
  </r>
  <r>
    <n v="265"/>
    <s v="Conditional Sig-Wasserstein GANs for Time Series Generation"/>
    <s v="LiaoEtAl2020"/>
    <x v="2"/>
    <x v="0"/>
    <x v="1"/>
    <x v="93"/>
    <s v="Empirical Density Function"/>
    <x v="12"/>
    <x v="2"/>
    <m/>
  </r>
  <r>
    <n v="266"/>
    <s v="Conditional Sig-Wasserstein GANs for Time Series Generation"/>
    <s v="LiaoEtAl2020"/>
    <x v="2"/>
    <x v="1"/>
    <x v="1"/>
    <x v="32"/>
    <s v="Autocorrelation"/>
    <x v="12"/>
    <x v="2"/>
    <m/>
  </r>
  <r>
    <n v="267"/>
    <s v="Conditional Sig-Wasserstein GANs for Time Series Generation"/>
    <s v="LiaoEtAl2020"/>
    <x v="2"/>
    <x v="0"/>
    <x v="1"/>
    <x v="52"/>
    <s v="Attribute Correlation"/>
    <x v="12"/>
    <x v="2"/>
    <m/>
  </r>
  <r>
    <n v="268"/>
    <s v="Conditional Sig-Wasserstein GANs for Time Series Generation"/>
    <s v="LiaoEtAl2020"/>
    <x v="2"/>
    <x v="1"/>
    <x v="0"/>
    <x v="1"/>
    <s v="TSTR R2"/>
    <x v="1"/>
    <x v="1"/>
    <m/>
  </r>
  <r>
    <n v="269"/>
    <s v="Generating Realistic Multi-Class Biosignals with BioSGAN: A Transformer-Based Label-Guided Generative Adversarial Network"/>
    <s v="LiEtAl2023"/>
    <x v="2"/>
    <x v="0"/>
    <x v="1"/>
    <x v="19"/>
    <s v="tSNE"/>
    <x v="0"/>
    <x v="0"/>
    <m/>
  </r>
  <r>
    <n v="270"/>
    <s v="Generating Realistic Multi-Class Biosignals with BioSGAN: A Transformer-Based Label-Guided Generative Adversarial Network"/>
    <s v="LiEtAl2023"/>
    <x v="2"/>
    <x v="0"/>
    <x v="1"/>
    <x v="51"/>
    <s v="PCA"/>
    <x v="0"/>
    <x v="0"/>
    <m/>
  </r>
  <r>
    <n v="271"/>
    <s v="Generating Realistic Multi-Class Biosignals with BioSGAN: A Transformer-Based Label-Guided Generative Adversarial Network"/>
    <s v="LiEtAl2023"/>
    <x v="2"/>
    <x v="0"/>
    <x v="1"/>
    <x v="94"/>
    <s v="Wavelet Coherence Score"/>
    <x v="1"/>
    <x v="2"/>
    <m/>
  </r>
  <r>
    <n v="272"/>
    <s v="Generating Realistic Multi-Class Biosignals with BioSGAN: A Transformer-Based Label-Guided Generative Adversarial Network"/>
    <s v="LiEtAl2023"/>
    <x v="2"/>
    <x v="1"/>
    <x v="0"/>
    <x v="55"/>
    <s v="Discrimination"/>
    <x v="1"/>
    <x v="0"/>
    <m/>
  </r>
  <r>
    <n v="273"/>
    <s v="Generating Realistic Multi-Class Biosignals with BioSGAN: A Transformer-Based Label-Guided Generative Adversarial Network"/>
    <s v="LiEtAl2023"/>
    <x v="2"/>
    <x v="1"/>
    <x v="0"/>
    <x v="17"/>
    <s v="TMTR Precision"/>
    <x v="1"/>
    <x v="1"/>
    <m/>
  </r>
  <r>
    <n v="274"/>
    <s v="Generating Realistic Multi-Class Biosignals with BioSGAN: A Transformer-Based Label-Guided Generative Adversarial Network"/>
    <s v="LiEtAl2023"/>
    <x v="2"/>
    <x v="1"/>
    <x v="0"/>
    <x v="17"/>
    <s v="TMTR Recall"/>
    <x v="1"/>
    <x v="1"/>
    <m/>
  </r>
  <r>
    <n v="275"/>
    <s v="Generating Realistic Multi-Class Biosignals with BioSGAN: A Transformer-Based Label-Guided Generative Adversarial Network"/>
    <s v="LiEtAl2023"/>
    <x v="2"/>
    <x v="1"/>
    <x v="0"/>
    <x v="17"/>
    <s v="TMTR F1"/>
    <x v="1"/>
    <x v="1"/>
    <m/>
  </r>
  <r>
    <n v="276"/>
    <s v="Generating synthetic mixed-type longitudinal electronic health records for artificial intelligent applications"/>
    <s v="LiEtAl2023"/>
    <x v="2"/>
    <x v="0"/>
    <x v="1"/>
    <x v="7"/>
    <s v="Gaussian Kernel"/>
    <x v="2"/>
    <x v="2"/>
    <s v="Continous"/>
  </r>
  <r>
    <n v="277"/>
    <s v="Generating synthetic mixed-type longitudinal electronic health records for artificial intelligent applications"/>
    <s v="LiEtAl2023"/>
    <x v="2"/>
    <x v="0"/>
    <x v="1"/>
    <x v="95"/>
    <s v="Dimension-wise probability"/>
    <x v="1"/>
    <x v="2"/>
    <s v="Discrete"/>
  </r>
  <r>
    <n v="278"/>
    <s v="Generating synthetic mixed-type longitudinal electronic health records for artificial intelligent applications"/>
    <s v="LiEtAl2023"/>
    <x v="2"/>
    <x v="1"/>
    <x v="0"/>
    <x v="55"/>
    <s v="Discrimination"/>
    <x v="1"/>
    <x v="0"/>
    <m/>
  </r>
  <r>
    <n v="279"/>
    <s v="Generating synthetic mixed-type longitudinal electronic health records for artificial intelligent applications"/>
    <s v="LiEtAl2023"/>
    <x v="2"/>
    <x v="0"/>
    <x v="1"/>
    <x v="39"/>
    <s v="Attribute"/>
    <x v="6"/>
    <x v="2"/>
    <m/>
  </r>
  <r>
    <n v="280"/>
    <s v="Generating synthetic mixed-type longitudinal electronic health records for artificial intelligent applications"/>
    <s v="LiEtAl2023"/>
    <x v="2"/>
    <x v="0"/>
    <x v="1"/>
    <x v="64"/>
    <s v="Attribute"/>
    <x v="23"/>
    <x v="2"/>
    <m/>
  </r>
  <r>
    <n v="281"/>
    <s v="Generating synthetic mixed-type longitudinal electronic health records for artificial intelligent applications"/>
    <s v="LiEtAl2023"/>
    <x v="2"/>
    <x v="1"/>
    <x v="1"/>
    <x v="43"/>
    <s v="Pearson Correlation Time Plot"/>
    <x v="0"/>
    <x v="2"/>
    <m/>
  </r>
  <r>
    <n v="282"/>
    <s v="Generating synthetic mixed-type longitudinal electronic health records for artificial intelligent applications"/>
    <s v="LiEtAl2023"/>
    <x v="2"/>
    <x v="0"/>
    <x v="1"/>
    <x v="44"/>
    <s v="Pearson Correlation Attributes Plot"/>
    <x v="0"/>
    <x v="2"/>
    <m/>
  </r>
  <r>
    <n v="283"/>
    <s v="Generating synthetic mixed-type longitudinal electronic health records for artificial intelligent applications"/>
    <s v="LiEtAl2023"/>
    <x v="2"/>
    <x v="1"/>
    <x v="0"/>
    <x v="1"/>
    <s v="TSTR AUC"/>
    <x v="1"/>
    <x v="1"/>
    <m/>
  </r>
  <r>
    <n v="284"/>
    <s v="Generating synthetic mixed-type longitudinal electronic health records for artificial intelligent applications"/>
    <s v="LiEtAl2023"/>
    <x v="2"/>
    <x v="1"/>
    <x v="0"/>
    <x v="17"/>
    <s v="TMTR AUC"/>
    <x v="1"/>
    <x v="1"/>
    <m/>
  </r>
  <r>
    <n v="285"/>
    <s v="Generating synthetic mixed-type longitudinal electronic health records for artificial intelligent applications"/>
    <s v="LiEtAl2023"/>
    <x v="2"/>
    <x v="0"/>
    <x v="1"/>
    <x v="22"/>
    <s v="Membership Inference Attack"/>
    <x v="1"/>
    <x v="4"/>
    <m/>
  </r>
  <r>
    <n v="286"/>
    <s v="Generating synthetic mixed-type longitudinal electronic health records for artificial intelligent applications"/>
    <s v="LiEtAl2023"/>
    <x v="2"/>
    <x v="0"/>
    <x v="1"/>
    <x v="96"/>
    <s v="Differential Privacy"/>
    <x v="1"/>
    <x v="4"/>
    <s v="The downstream classifier is trained with differential privacy guarantee. The  result is compared with TRTR to see whether it can maintain the same"/>
  </r>
  <r>
    <n v="287"/>
    <s v="Energy data generation with Wasserstein Deep Convolutional Generative Adversarial Networks"/>
    <s v="LiEtAl2022"/>
    <x v="3"/>
    <x v="1"/>
    <x v="1"/>
    <x v="32"/>
    <s v="Autocorrelation"/>
    <x v="1"/>
    <x v="2"/>
    <m/>
  </r>
  <r>
    <n v="288"/>
    <s v="Energy data generation with Wasserstein Deep Convolutional Generative Adversarial Networks"/>
    <s v="LiEtAl2022"/>
    <x v="3"/>
    <x v="0"/>
    <x v="1"/>
    <x v="47"/>
    <s v="Attribute"/>
    <x v="24"/>
    <x v="0"/>
    <m/>
  </r>
  <r>
    <n v="289"/>
    <s v="Energy data generation with Wasserstein Deep Convolutional Generative Adversarial Networks"/>
    <s v="LiEtAl2022"/>
    <x v="3"/>
    <x v="1"/>
    <x v="0"/>
    <x v="1"/>
    <s v="TSTR F1"/>
    <x v="1"/>
    <x v="1"/>
    <m/>
  </r>
  <r>
    <n v="290"/>
    <s v="Energy data generation with Wasserstein Deep Convolutional Generative Adversarial Networks"/>
    <s v="LiEtAl2022"/>
    <x v="3"/>
    <x v="1"/>
    <x v="0"/>
    <x v="1"/>
    <s v="TSTR Accuracy"/>
    <x v="1"/>
    <x v="1"/>
    <m/>
  </r>
  <r>
    <n v="291"/>
    <s v="GlucoSynth: Generating Differentially-Private Synthetic Glucose Traces"/>
    <s v="LampEtAl2023"/>
    <x v="3"/>
    <x v="0"/>
    <x v="1"/>
    <x v="97"/>
    <s v="Heatmaps of time series"/>
    <x v="0"/>
    <x v="0"/>
    <m/>
  </r>
  <r>
    <n v="292"/>
    <s v="GlucoSynth: Generating Differentially-Private Synthetic Glucose Traces"/>
    <s v="LampEtAl2023"/>
    <x v="3"/>
    <x v="0"/>
    <x v="1"/>
    <x v="64"/>
    <s v="Attribute"/>
    <x v="25"/>
    <x v="2"/>
    <m/>
  </r>
  <r>
    <n v="293"/>
    <s v="GlucoSynth: Generating Differentially-Private Synthetic Glucose Traces"/>
    <s v="LampEtAl2023"/>
    <x v="3"/>
    <x v="1"/>
    <x v="1"/>
    <x v="98"/>
    <s v="Time-in-Range"/>
    <x v="1"/>
    <x v="2"/>
    <m/>
  </r>
  <r>
    <n v="294"/>
    <s v="GlucoSynth: Generating Differentially-Private Synthetic Glucose Traces"/>
    <s v="LampEtAl2023"/>
    <x v="3"/>
    <x v="0"/>
    <x v="1"/>
    <x v="99"/>
    <s v="Variance Distribution Plot"/>
    <x v="0"/>
    <x v="2"/>
    <m/>
  </r>
  <r>
    <n v="295"/>
    <s v="GlucoSynth: Generating Differentially-Private Synthetic Glucose Traces"/>
    <s v="LampEtAl2023"/>
    <x v="3"/>
    <x v="1"/>
    <x v="1"/>
    <x v="100"/>
    <s v="Motif Overlap, Motif Coverage"/>
    <x v="1"/>
    <x v="2"/>
    <m/>
  </r>
  <r>
    <n v="297"/>
    <s v="GlucoSynth: Generating Differentially-Private Synthetic Glucose Traces"/>
    <s v="LampEtAl2023"/>
    <x v="3"/>
    <x v="1"/>
    <x v="1"/>
    <x v="101"/>
    <s v="Motif Distribution"/>
    <x v="15"/>
    <x v="2"/>
    <m/>
  </r>
  <r>
    <n v="298"/>
    <s v="GlucoSynth: Generating Differentially-Private Synthetic Glucose Traces"/>
    <s v="LampEtAl2023"/>
    <x v="3"/>
    <x v="1"/>
    <x v="0"/>
    <x v="1"/>
    <s v="TSTR RMSE"/>
    <x v="1"/>
    <x v="1"/>
    <m/>
  </r>
  <r>
    <n v="299"/>
    <s v="SPATE-GAN: Improved Generative Modeling of Dynamic Spatio-Temporal Patterns with an Autoregressive Embedding Loss"/>
    <s v="KlemmerEtAl2022"/>
    <x v="3"/>
    <x v="0"/>
    <x v="1"/>
    <x v="50"/>
    <s v="Attribute"/>
    <x v="14"/>
    <x v="2"/>
    <m/>
  </r>
  <r>
    <n v="300"/>
    <s v="SPATE-GAN: Improved Generative Modeling of Dynamic Spatio-Temporal Patterns with an Autoregressive Embedding Loss"/>
    <s v="KlemmerEtAl2022"/>
    <x v="3"/>
    <x v="0"/>
    <x v="1"/>
    <x v="7"/>
    <s v="Hilbert Kernel"/>
    <x v="2"/>
    <x v="2"/>
    <m/>
  </r>
  <r>
    <n v="301"/>
    <s v="SPATE-GAN: Improved Generative Modeling of Dynamic Spatio-Temporal Patterns with an Autoregressive Embedding Loss"/>
    <s v="KlemmerEtAl2022"/>
    <x v="3"/>
    <x v="1"/>
    <x v="0"/>
    <x v="55"/>
    <s v="Discrimination"/>
    <x v="1"/>
    <x v="0"/>
    <s v="Uses classifier two-sample test based on a k-nearestneighbor (KNN) classifier with k = 1"/>
  </r>
  <r>
    <n v="302"/>
    <s v="Generating Multi-type Temporal Sequences to Mitigate Class-Imbalanced Problem"/>
    <s v="JiangEtAk2021"/>
    <x v="2"/>
    <x v="0"/>
    <x v="1"/>
    <x v="36"/>
    <s v="Frechet Inception Distance"/>
    <x v="4"/>
    <x v="2"/>
    <m/>
  </r>
  <r>
    <n v="303"/>
    <s v="Generating Multi-type Temporal Sequences to Mitigate Class-Imbalanced Problem"/>
    <s v="JiangEtAk2021"/>
    <x v="2"/>
    <x v="0"/>
    <x v="1"/>
    <x v="47"/>
    <s v="Attribute"/>
    <x v="26"/>
    <x v="2"/>
    <s v="Categorical"/>
  </r>
  <r>
    <n v="304"/>
    <s v="Generating Multi-type Temporal Sequences to Mitigate Class-Imbalanced Problem"/>
    <s v="JiangEtAk2021"/>
    <x v="2"/>
    <x v="0"/>
    <x v="1"/>
    <x v="102"/>
    <s v="Oracle score"/>
    <x v="1"/>
    <x v="0"/>
    <s v="Measure the quality of a generated sequence by checking whether it has the known data properties of the positive class"/>
  </r>
  <r>
    <n v="305"/>
    <s v="Regime-Specific Quant Generative Adversarial Network: A Conditional Generative Adversarial Network for Regime-Specific Deepfakes of Financial Time Series"/>
    <s v="HuangEtAl2023"/>
    <x v="2"/>
    <x v="0"/>
    <x v="1"/>
    <x v="103"/>
    <s v="Financial Return Metrics"/>
    <x v="1"/>
    <x v="2"/>
    <s v="contains: ST unpredictability, Return density, Volatility clustering, Abs. return density, Loss future vol lag, Coarse–fine vol lag, Coarse–fine vol skew, Gain stoptime CDF, Loss stoptime CDF"/>
  </r>
  <r>
    <n v="306"/>
    <s v="Improved Training of Wasserstein GANs"/>
    <s v="GulrajaniEtAl2017"/>
    <x v="5"/>
    <x v="0"/>
    <x v="1"/>
    <x v="75"/>
    <s v="Inception Score"/>
    <x v="1"/>
    <x v="0"/>
    <m/>
  </r>
  <r>
    <n v="307"/>
    <s v="HierTGAN: Hierarchical Time Series Generation with Aggregation Constraints"/>
    <s v="GujullaLeelEtAl2024"/>
    <x v="2"/>
    <x v="0"/>
    <x v="1"/>
    <x v="52"/>
    <s v="Cross Correlation"/>
    <x v="1"/>
    <x v="2"/>
    <m/>
  </r>
  <r>
    <n v="308"/>
    <s v="HierTGAN: Hierarchical Time Series Generation with Aggregation Constraints"/>
    <s v="GujullaLeelEtAl2024"/>
    <x v="2"/>
    <x v="0"/>
    <x v="1"/>
    <x v="104"/>
    <s v="Distribution of reconstruction errors"/>
    <x v="7"/>
    <x v="2"/>
    <m/>
  </r>
  <r>
    <n v="309"/>
    <s v="HierTGAN: Hierarchical Time Series Generation with Aggregation Constraints"/>
    <s v="GujullaLeelEtAl2024"/>
    <x v="2"/>
    <x v="0"/>
    <x v="1"/>
    <x v="105"/>
    <s v="Coherency Error"/>
    <x v="1"/>
    <x v="0"/>
    <m/>
  </r>
  <r>
    <n v="310"/>
    <s v="HierTGAN: Hierarchical Time Series Generation with Aggregation Constraints"/>
    <s v="GujullaLeelEtAl2024"/>
    <x v="2"/>
    <x v="0"/>
    <x v="1"/>
    <x v="19"/>
    <s v="tSNE"/>
    <x v="0"/>
    <x v="0"/>
    <m/>
  </r>
  <r>
    <n v="311"/>
    <s v="HierTGAN: Hierarchical Time Series Generation with Aggregation Constraints"/>
    <s v="GujullaLeelEtAl2024"/>
    <x v="2"/>
    <x v="0"/>
    <x v="1"/>
    <x v="51"/>
    <s v="PCA"/>
    <x v="0"/>
    <x v="0"/>
    <m/>
  </r>
  <r>
    <n v="312"/>
    <s v="HierTGAN: Hierarchical Time Series Generation with Aggregation Constraints"/>
    <s v="GujullaLeelEtAl2024"/>
    <x v="2"/>
    <x v="1"/>
    <x v="0"/>
    <x v="1"/>
    <s v="TSTR MAE"/>
    <x v="1"/>
    <x v="1"/>
    <m/>
  </r>
  <r>
    <n v="313"/>
    <s v="Learning to Simulate Human Mobility"/>
    <s v="FengEtAl2020"/>
    <x v="0"/>
    <x v="0"/>
    <x v="1"/>
    <x v="106"/>
    <s v="Travel Metrics"/>
    <x v="1"/>
    <x v="2"/>
    <s v="contains: Distance, Radius, Duration, DailyLoc, G-rank, I-rank"/>
  </r>
  <r>
    <n v="314"/>
    <s v="Real-valued (Medical) Time Series Generation with Recurrent Conditional GANs"/>
    <s v="EstebanEtAl2017"/>
    <x v="2"/>
    <x v="0"/>
    <x v="1"/>
    <x v="104"/>
    <s v="Distribution of reconstruction errors"/>
    <x v="7"/>
    <x v="2"/>
    <m/>
  </r>
  <r>
    <n v="315"/>
    <s v="Real-valued (Medical) Time Series Generation with Recurrent Conditional GANs"/>
    <s v="EstebanEtAl2017"/>
    <x v="2"/>
    <x v="1"/>
    <x v="0"/>
    <x v="1"/>
    <s v="TSTR AUC"/>
    <x v="1"/>
    <x v="1"/>
    <m/>
  </r>
  <r>
    <n v="316"/>
    <s v="Real-valued (Medical) Time Series Generation with Recurrent Conditional GANs"/>
    <s v="EstebanEtAl2017"/>
    <x v="2"/>
    <x v="1"/>
    <x v="0"/>
    <x v="1"/>
    <s v="TSTR AUPRC"/>
    <x v="1"/>
    <x v="1"/>
    <m/>
  </r>
  <r>
    <n v="317"/>
    <s v="Coherent Multi-Table Data Synthesis for Tabular and Time-Series Data with GANs"/>
    <s v="EllikerEtAl2024"/>
    <x v="2"/>
    <x v="0"/>
    <x v="1"/>
    <x v="35"/>
    <s v="Distance to the Closest Record"/>
    <x v="1"/>
    <x v="4"/>
    <m/>
  </r>
  <r>
    <n v="318"/>
    <s v="Coherent Multi-Table Data Synthesis for Tabular and Time-Series Data with GANs"/>
    <s v="EllikerEtAl2024"/>
    <x v="2"/>
    <x v="0"/>
    <x v="1"/>
    <x v="107"/>
    <s v="Correlation Matrix Distance"/>
    <x v="1"/>
    <x v="2"/>
    <m/>
  </r>
  <r>
    <n v="319"/>
    <s v="Coherent Multi-Table Data Synthesis for Tabular and Time-Series Data with GANs"/>
    <s v="EllikerEtAl2024"/>
    <x v="2"/>
    <x v="1"/>
    <x v="0"/>
    <x v="1"/>
    <s v="TSTR F1"/>
    <x v="1"/>
    <x v="1"/>
    <m/>
  </r>
  <r>
    <n v="320"/>
    <s v="Coherent Multi-Table Data Synthesis for Tabular and Time-Series Data with GANs"/>
    <s v="EllikerEtAl2024"/>
    <x v="2"/>
    <x v="1"/>
    <x v="0"/>
    <x v="1"/>
    <s v="TSTR AUC"/>
    <x v="1"/>
    <x v="1"/>
    <m/>
  </r>
  <r>
    <n v="321"/>
    <s v="Fully embedded time series generative adversarial networks"/>
    <s v="BeckAndChakraborty2024"/>
    <x v="2"/>
    <x v="0"/>
    <x v="1"/>
    <x v="19"/>
    <s v="tSNE"/>
    <x v="0"/>
    <x v="0"/>
    <m/>
  </r>
  <r>
    <n v="322"/>
    <s v="Fully embedded time series generative adversarial networks"/>
    <s v="BeckAndChakraborty2024"/>
    <x v="2"/>
    <x v="1"/>
    <x v="0"/>
    <x v="55"/>
    <s v="Discrimination"/>
    <x v="1"/>
    <x v="0"/>
    <m/>
  </r>
  <r>
    <n v="323"/>
    <s v="Fully embedded time series generative adversarial networks"/>
    <s v="BeckAndChakraborty2024"/>
    <x v="2"/>
    <x v="1"/>
    <x v="0"/>
    <x v="1"/>
    <s v="TSTR MAE"/>
    <x v="1"/>
    <x v="1"/>
    <m/>
  </r>
  <r>
    <n v="324"/>
    <s v="FinDiff: Diffusion Models for Financial Tabular Data Generation"/>
    <s v="SattarovEtAl2023"/>
    <x v="4"/>
    <x v="0"/>
    <x v="1"/>
    <x v="68"/>
    <s v="Attribute"/>
    <x v="7"/>
    <x v="2"/>
    <m/>
  </r>
  <r>
    <n v="325"/>
    <s v="FinDiff: Diffusion Models for Financial Tabular Data Generation"/>
    <s v="SattarovEtAl2023"/>
    <x v="4"/>
    <x v="0"/>
    <x v="1"/>
    <x v="52"/>
    <s v="Attribute Pearson Correlation"/>
    <x v="1"/>
    <x v="2"/>
    <m/>
  </r>
  <r>
    <n v="326"/>
    <s v="FinDiff: Diffusion Models for Financial Tabular Data Generation"/>
    <s v="SattarovEtAl2023"/>
    <x v="4"/>
    <x v="0"/>
    <x v="1"/>
    <x v="35"/>
    <s v="Distance to Closest Records"/>
    <x v="1"/>
    <x v="4"/>
    <m/>
  </r>
  <r>
    <n v="327"/>
    <s v="FinDiff: Diffusion Models for Financial Tabular Data Generation"/>
    <s v="SattarovEtAl2023"/>
    <x v="4"/>
    <x v="1"/>
    <x v="0"/>
    <x v="1"/>
    <s v="TSTR Accuracy"/>
    <x v="1"/>
    <x v="1"/>
    <m/>
  </r>
  <r>
    <n v="328"/>
    <s v="FinDiff: Diffusion Models for Financial Tabular Data Generation"/>
    <s v="SattarovEtAl2023"/>
    <x v="4"/>
    <x v="0"/>
    <x v="1"/>
    <x v="108"/>
    <s v="Real Record within 1% Range"/>
    <x v="1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7D900-B0A1-4542-9086-40712969F192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97" firstHeaderRow="1" firstDataRow="1" firstDataCol="1" rowPageCount="3" colPageCount="1"/>
  <pivotFields count="11">
    <pivotField dataField="1" showAll="0"/>
    <pivotField showAll="0"/>
    <pivotField showAll="0"/>
    <pivotField axis="axisRow" multipleItemSelectionAllowed="1" showAll="0">
      <items count="7">
        <item x="1"/>
        <item x="5"/>
        <item x="4"/>
        <item x="2"/>
        <item x="3"/>
        <item x="0"/>
        <item t="default"/>
      </items>
    </pivotField>
    <pivotField axis="axisPage" showAll="0">
      <items count="4">
        <item x="0"/>
        <item x="1"/>
        <item m="1" x="2"/>
        <item t="default"/>
      </items>
    </pivotField>
    <pivotField axis="axisPage" showAll="0">
      <items count="4">
        <item x="1"/>
        <item x="0"/>
        <item m="1" x="2"/>
        <item t="default"/>
      </items>
    </pivotField>
    <pivotField axis="axisRow" showAll="0">
      <items count="112">
        <item x="31"/>
        <item x="0"/>
        <item x="80"/>
        <item x="88"/>
        <item x="90"/>
        <item x="21"/>
        <item x="48"/>
        <item x="47"/>
        <item x="97"/>
        <item x="53"/>
        <item x="49"/>
        <item x="45"/>
        <item x="68"/>
        <item x="65"/>
        <item x="59"/>
        <item x="39"/>
        <item x="40"/>
        <item x="58"/>
        <item x="89"/>
        <item x="52"/>
        <item x="61"/>
        <item x="83"/>
        <item x="95"/>
        <item x="85"/>
        <item x="84"/>
        <item x="54"/>
        <item x="66"/>
        <item x="64"/>
        <item x="60"/>
        <item x="86"/>
        <item x="87"/>
        <item x="50"/>
        <item x="41"/>
        <item x="32"/>
        <item x="30"/>
        <item x="78"/>
        <item x="14"/>
        <item x="23"/>
        <item x="3"/>
        <item x="105"/>
        <item x="107"/>
        <item x="2"/>
        <item x="79"/>
        <item x="28"/>
        <item x="96"/>
        <item x="55"/>
        <item x="35"/>
        <item x="104"/>
        <item x="46"/>
        <item x="15"/>
        <item x="93"/>
        <item x="8"/>
        <item x="63"/>
        <item x="103"/>
        <item x="36"/>
        <item x="92"/>
        <item x="75"/>
        <item x="73"/>
        <item x="42"/>
        <item m="1" x="109"/>
        <item x="16"/>
        <item x="25"/>
        <item x="71"/>
        <item x="29"/>
        <item x="22"/>
        <item x="100"/>
        <item x="11"/>
        <item x="101"/>
        <item x="13"/>
        <item x="12"/>
        <item x="10"/>
        <item x="70"/>
        <item m="1" x="110"/>
        <item x="27"/>
        <item x="102"/>
        <item x="4"/>
        <item x="37"/>
        <item x="51"/>
        <item x="44"/>
        <item x="43"/>
        <item x="62"/>
        <item x="26"/>
        <item x="67"/>
        <item x="108"/>
        <item x="91"/>
        <item x="76"/>
        <item x="77"/>
        <item x="38"/>
        <item x="5"/>
        <item x="81"/>
        <item x="72"/>
        <item x="69"/>
        <item x="18"/>
        <item x="6"/>
        <item x="33"/>
        <item x="34"/>
        <item x="98"/>
        <item x="17"/>
        <item x="82"/>
        <item x="9"/>
        <item x="20"/>
        <item x="106"/>
        <item x="57"/>
        <item x="19"/>
        <item x="1"/>
        <item x="56"/>
        <item x="99"/>
        <item x="94"/>
        <item x="24"/>
        <item x="7"/>
        <item x="74"/>
        <item t="default"/>
      </items>
    </pivotField>
    <pivotField showAll="0"/>
    <pivotField axis="axisPage" showAll="0">
      <items count="28">
        <item x="9"/>
        <item x="3"/>
        <item x="8"/>
        <item x="17"/>
        <item x="13"/>
        <item x="4"/>
        <item x="11"/>
        <item x="7"/>
        <item x="12"/>
        <item x="5"/>
        <item x="6"/>
        <item x="26"/>
        <item x="2"/>
        <item x="15"/>
        <item x="10"/>
        <item x="22"/>
        <item x="16"/>
        <item x="19"/>
        <item x="24"/>
        <item x="18"/>
        <item x="1"/>
        <item x="20"/>
        <item x="23"/>
        <item x="21"/>
        <item x="25"/>
        <item x="0"/>
        <item x="14"/>
        <item t="default"/>
      </items>
    </pivotField>
    <pivotField axis="axisRow" showAll="0">
      <items count="7">
        <item x="3"/>
        <item x="0"/>
        <item m="1" x="5"/>
        <item x="4"/>
        <item x="2"/>
        <item x="1"/>
        <item t="default"/>
      </items>
    </pivotField>
    <pivotField showAll="0"/>
  </pivotFields>
  <rowFields count="3">
    <field x="9"/>
    <field x="3"/>
    <field x="6"/>
  </rowFields>
  <rowItems count="192">
    <i>
      <x/>
    </i>
    <i r="1">
      <x/>
    </i>
    <i r="2">
      <x v="99"/>
    </i>
    <i r="1">
      <x v="3"/>
    </i>
    <i r="2">
      <x v="84"/>
    </i>
    <i r="2">
      <x v="85"/>
    </i>
    <i r="2">
      <x v="99"/>
    </i>
    <i r="1">
      <x v="4"/>
    </i>
    <i r="2">
      <x v="52"/>
    </i>
    <i r="2">
      <x v="99"/>
    </i>
    <i>
      <x v="1"/>
    </i>
    <i r="1">
      <x/>
    </i>
    <i r="2">
      <x v="66"/>
    </i>
    <i r="2">
      <x v="70"/>
    </i>
    <i r="2">
      <x v="103"/>
    </i>
    <i r="1">
      <x v="1"/>
    </i>
    <i r="2">
      <x v="56"/>
    </i>
    <i r="1">
      <x v="3"/>
    </i>
    <i r="2">
      <x v="11"/>
    </i>
    <i r="2">
      <x v="15"/>
    </i>
    <i r="2">
      <x v="16"/>
    </i>
    <i r="2">
      <x v="18"/>
    </i>
    <i r="2">
      <x v="32"/>
    </i>
    <i r="2">
      <x v="33"/>
    </i>
    <i r="2">
      <x v="39"/>
    </i>
    <i r="2">
      <x v="45"/>
    </i>
    <i r="2">
      <x v="48"/>
    </i>
    <i r="2">
      <x v="58"/>
    </i>
    <i r="2">
      <x v="74"/>
    </i>
    <i r="2">
      <x v="77"/>
    </i>
    <i r="2">
      <x v="87"/>
    </i>
    <i r="2">
      <x v="103"/>
    </i>
    <i r="1">
      <x v="4"/>
    </i>
    <i r="2">
      <x v="6"/>
    </i>
    <i r="2">
      <x v="7"/>
    </i>
    <i r="2">
      <x v="8"/>
    </i>
    <i r="2">
      <x v="19"/>
    </i>
    <i r="2">
      <x v="20"/>
    </i>
    <i r="2">
      <x v="21"/>
    </i>
    <i r="2">
      <x v="23"/>
    </i>
    <i r="2">
      <x v="24"/>
    </i>
    <i r="2">
      <x v="29"/>
    </i>
    <i r="2">
      <x v="31"/>
    </i>
    <i r="2">
      <x v="45"/>
    </i>
    <i r="2">
      <x v="56"/>
    </i>
    <i r="2">
      <x v="77"/>
    </i>
    <i r="2">
      <x v="103"/>
    </i>
    <i r="1">
      <x v="5"/>
    </i>
    <i r="2">
      <x/>
    </i>
    <i r="2">
      <x v="1"/>
    </i>
    <i r="2">
      <x v="33"/>
    </i>
    <i r="2">
      <x v="34"/>
    </i>
    <i r="2">
      <x v="45"/>
    </i>
    <i r="2">
      <x v="49"/>
    </i>
    <i r="2">
      <x v="63"/>
    </i>
    <i r="2">
      <x v="94"/>
    </i>
    <i r="2">
      <x v="95"/>
    </i>
    <i>
      <x v="3"/>
    </i>
    <i r="1">
      <x/>
    </i>
    <i r="2">
      <x v="64"/>
    </i>
    <i r="1">
      <x v="2"/>
    </i>
    <i r="2">
      <x v="46"/>
    </i>
    <i r="1">
      <x v="3"/>
    </i>
    <i r="2">
      <x v="44"/>
    </i>
    <i r="2">
      <x v="46"/>
    </i>
    <i r="2">
      <x v="64"/>
    </i>
    <i r="1">
      <x v="4"/>
    </i>
    <i r="2">
      <x v="46"/>
    </i>
    <i r="1">
      <x v="5"/>
    </i>
    <i r="2">
      <x v="46"/>
    </i>
    <i>
      <x v="4"/>
    </i>
    <i r="1">
      <x/>
    </i>
    <i r="2">
      <x v="36"/>
    </i>
    <i r="2">
      <x v="38"/>
    </i>
    <i r="2">
      <x v="41"/>
    </i>
    <i r="2">
      <x v="51"/>
    </i>
    <i r="2">
      <x v="68"/>
    </i>
    <i r="2">
      <x v="69"/>
    </i>
    <i r="2">
      <x v="75"/>
    </i>
    <i r="2">
      <x v="88"/>
    </i>
    <i r="2">
      <x v="92"/>
    </i>
    <i r="2">
      <x v="93"/>
    </i>
    <i r="2">
      <x v="109"/>
    </i>
    <i r="1">
      <x v="2"/>
    </i>
    <i r="2">
      <x v="12"/>
    </i>
    <i r="2">
      <x v="19"/>
    </i>
    <i r="2">
      <x v="62"/>
    </i>
    <i r="2">
      <x v="71"/>
    </i>
    <i r="2">
      <x v="83"/>
    </i>
    <i r="1">
      <x v="3"/>
    </i>
    <i r="2">
      <x v="3"/>
    </i>
    <i r="2">
      <x v="4"/>
    </i>
    <i r="2">
      <x v="7"/>
    </i>
    <i r="2">
      <x v="11"/>
    </i>
    <i r="2">
      <x v="13"/>
    </i>
    <i r="2">
      <x v="15"/>
    </i>
    <i r="2">
      <x v="19"/>
    </i>
    <i r="2">
      <x v="20"/>
    </i>
    <i r="2">
      <x v="22"/>
    </i>
    <i r="2">
      <x v="26"/>
    </i>
    <i r="2">
      <x v="27"/>
    </i>
    <i r="2">
      <x v="30"/>
    </i>
    <i r="2">
      <x v="31"/>
    </i>
    <i r="2">
      <x v="33"/>
    </i>
    <i r="2">
      <x v="38"/>
    </i>
    <i r="2">
      <x v="40"/>
    </i>
    <i r="2">
      <x v="47"/>
    </i>
    <i r="2">
      <x v="50"/>
    </i>
    <i r="2">
      <x v="53"/>
    </i>
    <i r="2">
      <x v="54"/>
    </i>
    <i r="2">
      <x v="55"/>
    </i>
    <i r="2">
      <x v="57"/>
    </i>
    <i r="2">
      <x v="78"/>
    </i>
    <i r="2">
      <x v="79"/>
    </i>
    <i r="2">
      <x v="89"/>
    </i>
    <i r="2">
      <x v="90"/>
    </i>
    <i r="2">
      <x v="107"/>
    </i>
    <i r="2">
      <x v="109"/>
    </i>
    <i r="2">
      <x v="110"/>
    </i>
    <i r="1">
      <x v="4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0"/>
    </i>
    <i r="2">
      <x v="25"/>
    </i>
    <i r="2">
      <x v="26"/>
    </i>
    <i r="2">
      <x v="27"/>
    </i>
    <i r="2">
      <x v="28"/>
    </i>
    <i r="2">
      <x v="31"/>
    </i>
    <i r="2">
      <x v="33"/>
    </i>
    <i r="2">
      <x v="54"/>
    </i>
    <i r="2">
      <x v="60"/>
    </i>
    <i r="2">
      <x v="65"/>
    </i>
    <i r="2">
      <x v="67"/>
    </i>
    <i r="2">
      <x v="71"/>
    </i>
    <i r="2">
      <x v="78"/>
    </i>
    <i r="2">
      <x v="80"/>
    </i>
    <i r="2">
      <x v="82"/>
    </i>
    <i r="2">
      <x v="91"/>
    </i>
    <i r="2">
      <x v="96"/>
    </i>
    <i r="2">
      <x v="106"/>
    </i>
    <i r="2">
      <x v="109"/>
    </i>
    <i r="2">
      <x v="110"/>
    </i>
    <i r="1">
      <x v="5"/>
    </i>
    <i r="2">
      <x v="2"/>
    </i>
    <i r="2">
      <x v="5"/>
    </i>
    <i r="2">
      <x v="35"/>
    </i>
    <i r="2">
      <x v="36"/>
    </i>
    <i r="2">
      <x v="37"/>
    </i>
    <i r="2">
      <x v="38"/>
    </i>
    <i r="2">
      <x v="41"/>
    </i>
    <i r="2">
      <x v="42"/>
    </i>
    <i r="2">
      <x v="43"/>
    </i>
    <i r="2">
      <x v="54"/>
    </i>
    <i r="2">
      <x v="60"/>
    </i>
    <i r="2">
      <x v="61"/>
    </i>
    <i r="2">
      <x v="73"/>
    </i>
    <i r="2">
      <x v="76"/>
    </i>
    <i r="2">
      <x v="81"/>
    </i>
    <i r="2">
      <x v="86"/>
    </i>
    <i r="2">
      <x v="92"/>
    </i>
    <i r="2">
      <x v="100"/>
    </i>
    <i r="2">
      <x v="101"/>
    </i>
    <i r="2">
      <x v="108"/>
    </i>
    <i>
      <x v="5"/>
    </i>
    <i r="1">
      <x/>
    </i>
    <i r="2">
      <x v="97"/>
    </i>
    <i r="2">
      <x v="104"/>
    </i>
    <i r="1">
      <x v="2"/>
    </i>
    <i r="2">
      <x v="97"/>
    </i>
    <i r="2">
      <x v="104"/>
    </i>
    <i r="1">
      <x v="3"/>
    </i>
    <i r="2">
      <x v="97"/>
    </i>
    <i r="2">
      <x v="98"/>
    </i>
    <i r="2">
      <x v="102"/>
    </i>
    <i r="2">
      <x v="104"/>
    </i>
    <i r="1">
      <x v="4"/>
    </i>
    <i r="2">
      <x v="102"/>
    </i>
    <i r="2">
      <x v="104"/>
    </i>
    <i r="2">
      <x v="105"/>
    </i>
    <i r="1">
      <x v="5"/>
    </i>
    <i r="2">
      <x v="97"/>
    </i>
    <i r="2">
      <x v="104"/>
    </i>
    <i t="grand">
      <x/>
    </i>
  </rowItems>
  <colItems count="1">
    <i/>
  </colItems>
  <pageFields count="3">
    <pageField fld="5" hier="-1"/>
    <pageField fld="4" hier="-1"/>
    <pageField fld="8" hier="-1"/>
  </pageFields>
  <dataFields count="1">
    <dataField name="Count of 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04D3D-8E0C-42A3-A34D-20FACF0EB17A}" name="Table1" displayName="Table1" ref="A3:K330" totalsRowShown="0">
  <autoFilter ref="A3:K330" xr:uid="{8A08E75C-D51A-4C7C-859C-1F0189763A4A}"/>
  <tableColumns count="11">
    <tableColumn id="19" xr3:uid="{71C35FE1-F5D6-43E5-A007-98E99DA17231}" name="ID" dataDxfId="0"/>
    <tableColumn id="1" xr3:uid="{4003D917-CCFB-4209-A266-2795E6FE3C8D}" name="Paper"/>
    <tableColumn id="2" xr3:uid="{AB4CEEED-8B8C-472F-ABBB-B37679DB459E}" name="Author"/>
    <tableColumn id="3" xr3:uid="{83BC0EDC-1AB0-4D84-8832-BBB7F3CE0F7D}" name="DataType"/>
    <tableColumn id="20" xr3:uid="{FC2071C3-1159-4E42-A462-D873A9F82B5F}" name="Temporal"/>
    <tableColumn id="21" xr3:uid="{999B03C6-75EF-48CE-BC6A-BB7F0B4C9EC0}" name="Graph"/>
    <tableColumn id="10" xr3:uid="{5B4ABBBC-C891-4A86-8896-54142D5C1D49}" name="Common Metric Name"/>
    <tableColumn id="4" xr3:uid="{9F78E193-AB3F-4E5A-87C3-1911D4F5F15A}" name="Metric"/>
    <tableColumn id="9" xr3:uid="{1F5CDB34-3C27-4BA3-8EAE-22CF393A060E}" name="ComparisonMethod"/>
    <tableColumn id="5" xr3:uid="{ABC85B7C-54FD-423C-AFCB-CCA092366651}" name="MetricCategory"/>
    <tableColumn id="6" xr3:uid="{53CFA707-11E7-4172-ACAB-BF5E2FDE6B43}" name="Clarr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E07B-A3D9-4E9F-A9A9-FF1BBCB8706E}">
  <sheetPr>
    <outlinePr summaryRight="0"/>
  </sheetPr>
  <dimension ref="A1:E10"/>
  <sheetViews>
    <sheetView workbookViewId="0">
      <selection activeCell="C7" sqref="C7:C9"/>
    </sheetView>
  </sheetViews>
  <sheetFormatPr baseColWidth="10" defaultColWidth="8.83203125" defaultRowHeight="15" outlineLevelCol="1" x14ac:dyDescent="0.2"/>
  <cols>
    <col min="1" max="1" width="4.83203125" customWidth="1"/>
    <col min="2" max="2" width="25.6640625" customWidth="1"/>
    <col min="3" max="3" width="58.6640625" customWidth="1" outlineLevel="1"/>
    <col min="4" max="4" width="15.1640625" customWidth="1"/>
    <col min="5" max="5" width="38" customWidth="1"/>
    <col min="6" max="6" width="43.5" customWidth="1"/>
  </cols>
  <sheetData>
    <row r="1" spans="1:5" ht="28.25" customHeight="1" x14ac:dyDescent="0.2">
      <c r="A1" s="2" t="s">
        <v>69</v>
      </c>
    </row>
    <row r="2" spans="1:5" ht="15" customHeight="1" x14ac:dyDescent="0.2">
      <c r="A2" s="2" t="s">
        <v>109</v>
      </c>
      <c r="B2" s="4" t="s">
        <v>110</v>
      </c>
      <c r="C2" s="4" t="s">
        <v>111</v>
      </c>
      <c r="D2" s="4" t="s">
        <v>366</v>
      </c>
      <c r="E2" s="4" t="s">
        <v>415</v>
      </c>
    </row>
    <row r="3" spans="1:5" ht="32" x14ac:dyDescent="0.2">
      <c r="A3" s="6"/>
      <c r="B3" s="5" t="s">
        <v>17</v>
      </c>
      <c r="C3" s="9" t="s">
        <v>112</v>
      </c>
      <c r="D3" s="6">
        <f>COUNTIF(Table1[MetricCategory], overview!B3)</f>
        <v>7</v>
      </c>
      <c r="E3" s="15" t="s">
        <v>427</v>
      </c>
    </row>
    <row r="4" spans="1:5" ht="21" customHeight="1" x14ac:dyDescent="0.2">
      <c r="A4" s="17">
        <v>1</v>
      </c>
      <c r="B4" s="19" t="s">
        <v>62</v>
      </c>
      <c r="C4" s="18" t="s">
        <v>113</v>
      </c>
      <c r="D4" s="17">
        <f>COUNTIF(Table1[MetricCategory], overview!B4)</f>
        <v>81</v>
      </c>
      <c r="E4" s="13" t="s">
        <v>418</v>
      </c>
    </row>
    <row r="5" spans="1:5" ht="21" customHeight="1" x14ac:dyDescent="0.2">
      <c r="A5" s="17"/>
      <c r="B5" s="19"/>
      <c r="C5" s="18"/>
      <c r="D5" s="17"/>
      <c r="E5" s="14" t="s">
        <v>384</v>
      </c>
    </row>
    <row r="6" spans="1:5" ht="29.5" customHeight="1" x14ac:dyDescent="0.2">
      <c r="A6" s="6">
        <v>2</v>
      </c>
      <c r="B6" s="5" t="s">
        <v>11</v>
      </c>
      <c r="C6" s="12" t="s">
        <v>114</v>
      </c>
      <c r="D6" s="6">
        <f>COUNTIF(Table1[MetricCategory], overview!B6)</f>
        <v>7</v>
      </c>
      <c r="E6" s="13" t="s">
        <v>417</v>
      </c>
    </row>
    <row r="7" spans="1:5" ht="19.25" customHeight="1" x14ac:dyDescent="0.2">
      <c r="A7" s="17">
        <v>3</v>
      </c>
      <c r="B7" s="19" t="s">
        <v>66</v>
      </c>
      <c r="C7" s="20" t="s">
        <v>115</v>
      </c>
      <c r="D7" s="17">
        <f>COUNTIF(Table1[MetricCategory], "Representativeness") + COUNTIF(Table1[MetricCategory], "Generalization")</f>
        <v>146</v>
      </c>
      <c r="E7" s="13" t="s">
        <v>420</v>
      </c>
    </row>
    <row r="8" spans="1:5" ht="19.25" customHeight="1" x14ac:dyDescent="0.2">
      <c r="A8" s="17"/>
      <c r="B8" s="19"/>
      <c r="C8" s="20"/>
      <c r="D8" s="17"/>
      <c r="E8" s="13" t="s">
        <v>428</v>
      </c>
    </row>
    <row r="9" spans="1:5" ht="19.25" customHeight="1" x14ac:dyDescent="0.2">
      <c r="A9" s="17"/>
      <c r="B9" s="19"/>
      <c r="C9" s="20"/>
      <c r="D9" s="17"/>
      <c r="E9" s="13" t="s">
        <v>430</v>
      </c>
    </row>
    <row r="10" spans="1:5" ht="32" x14ac:dyDescent="0.2">
      <c r="A10" s="6">
        <v>4</v>
      </c>
      <c r="B10" s="5" t="s">
        <v>4</v>
      </c>
      <c r="C10" s="7" t="s">
        <v>116</v>
      </c>
      <c r="D10" s="6">
        <f>COUNTIF(Table1[MetricCategory], overview!B10)</f>
        <v>86</v>
      </c>
      <c r="E10" s="13" t="s">
        <v>419</v>
      </c>
    </row>
  </sheetData>
  <mergeCells count="8">
    <mergeCell ref="D4:D5"/>
    <mergeCell ref="C4:C5"/>
    <mergeCell ref="B4:B5"/>
    <mergeCell ref="A4:A5"/>
    <mergeCell ref="A7:A9"/>
    <mergeCell ref="B7:B9"/>
    <mergeCell ref="C7:C9"/>
    <mergeCell ref="D7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8EBB-531C-40E2-A5C1-7D2201502D26}">
  <dimension ref="A1:I197"/>
  <sheetViews>
    <sheetView tabSelected="1" topLeftCell="A166" workbookViewId="0">
      <selection activeCell="E98" sqref="E98"/>
    </sheetView>
  </sheetViews>
  <sheetFormatPr baseColWidth="10" defaultColWidth="8.83203125" defaultRowHeight="15" x14ac:dyDescent="0.2"/>
  <cols>
    <col min="1" max="1" width="38" bestFit="1" customWidth="1"/>
    <col min="2" max="2" width="9.6640625" bestFit="1" customWidth="1"/>
    <col min="3" max="3" width="5.5" bestFit="1" customWidth="1"/>
    <col min="4" max="4" width="7.1640625" bestFit="1" customWidth="1"/>
    <col min="5" max="5" width="11" bestFit="1" customWidth="1"/>
    <col min="6" max="6" width="5.5" bestFit="1" customWidth="1"/>
    <col min="7" max="7" width="10.1640625" bestFit="1" customWidth="1"/>
    <col min="8" max="8" width="9" bestFit="1" customWidth="1"/>
    <col min="9" max="9" width="11.83203125" bestFit="1" customWidth="1"/>
    <col min="10" max="10" width="11" bestFit="1" customWidth="1"/>
  </cols>
  <sheetData>
    <row r="1" spans="1:3" x14ac:dyDescent="0.2">
      <c r="A1" s="10" t="s">
        <v>3</v>
      </c>
      <c r="B1" t="s">
        <v>431</v>
      </c>
    </row>
    <row r="2" spans="1:3" x14ac:dyDescent="0.2">
      <c r="A2" s="10" t="s">
        <v>181</v>
      </c>
      <c r="B2" t="s">
        <v>431</v>
      </c>
    </row>
    <row r="3" spans="1:3" x14ac:dyDescent="0.2">
      <c r="A3" s="10" t="s">
        <v>134</v>
      </c>
      <c r="B3" t="s">
        <v>431</v>
      </c>
    </row>
    <row r="5" spans="1:3" x14ac:dyDescent="0.2">
      <c r="A5" s="10" t="s">
        <v>412</v>
      </c>
      <c r="B5" t="s">
        <v>414</v>
      </c>
    </row>
    <row r="6" spans="1:3" x14ac:dyDescent="0.2">
      <c r="A6" s="8" t="s">
        <v>17</v>
      </c>
      <c r="B6" s="21">
        <v>7</v>
      </c>
      <c r="C6">
        <v>4</v>
      </c>
    </row>
    <row r="7" spans="1:3" x14ac:dyDescent="0.2">
      <c r="A7" s="11" t="s">
        <v>3</v>
      </c>
      <c r="B7" s="21">
        <v>1</v>
      </c>
    </row>
    <row r="8" spans="1:3" x14ac:dyDescent="0.2">
      <c r="A8" s="16" t="s">
        <v>88</v>
      </c>
      <c r="B8" s="21">
        <v>1</v>
      </c>
    </row>
    <row r="9" spans="1:3" x14ac:dyDescent="0.2">
      <c r="A9" s="11" t="s">
        <v>181</v>
      </c>
      <c r="B9" s="21">
        <v>4</v>
      </c>
    </row>
    <row r="10" spans="1:3" x14ac:dyDescent="0.2">
      <c r="A10" s="16" t="s">
        <v>299</v>
      </c>
      <c r="B10" s="21">
        <v>1</v>
      </c>
    </row>
    <row r="11" spans="1:3" x14ac:dyDescent="0.2">
      <c r="A11" s="16" t="s">
        <v>19</v>
      </c>
      <c r="B11" s="21">
        <v>1</v>
      </c>
    </row>
    <row r="12" spans="1:3" x14ac:dyDescent="0.2">
      <c r="A12" s="16" t="s">
        <v>88</v>
      </c>
      <c r="B12" s="21">
        <v>2</v>
      </c>
      <c r="C12">
        <v>34</v>
      </c>
    </row>
    <row r="13" spans="1:3" x14ac:dyDescent="0.2">
      <c r="A13" s="11" t="s">
        <v>192</v>
      </c>
      <c r="B13" s="21">
        <v>2</v>
      </c>
    </row>
    <row r="14" spans="1:3" x14ac:dyDescent="0.2">
      <c r="A14" s="16" t="s">
        <v>228</v>
      </c>
      <c r="B14" s="21">
        <v>1</v>
      </c>
    </row>
    <row r="15" spans="1:3" x14ac:dyDescent="0.2">
      <c r="A15" s="16" t="s">
        <v>88</v>
      </c>
      <c r="B15" s="21">
        <v>1</v>
      </c>
    </row>
    <row r="16" spans="1:3" x14ac:dyDescent="0.2">
      <c r="A16" s="8" t="s">
        <v>62</v>
      </c>
      <c r="B16" s="21">
        <v>81</v>
      </c>
    </row>
    <row r="17" spans="1:2" x14ac:dyDescent="0.2">
      <c r="A17" s="11" t="s">
        <v>3</v>
      </c>
      <c r="B17" s="21">
        <v>3</v>
      </c>
    </row>
    <row r="18" spans="1:2" x14ac:dyDescent="0.2">
      <c r="A18" s="16" t="s">
        <v>409</v>
      </c>
      <c r="B18" s="21">
        <v>1</v>
      </c>
    </row>
    <row r="19" spans="1:2" x14ac:dyDescent="0.2">
      <c r="A19" s="16" t="s">
        <v>408</v>
      </c>
      <c r="B19" s="21">
        <v>1</v>
      </c>
    </row>
    <row r="20" spans="1:2" x14ac:dyDescent="0.2">
      <c r="A20" s="16" t="s">
        <v>384</v>
      </c>
      <c r="B20" s="21">
        <v>1</v>
      </c>
    </row>
    <row r="21" spans="1:2" x14ac:dyDescent="0.2">
      <c r="A21" s="11" t="s">
        <v>15</v>
      </c>
      <c r="B21" s="21">
        <v>1</v>
      </c>
    </row>
    <row r="22" spans="1:2" x14ac:dyDescent="0.2">
      <c r="A22" s="16" t="s">
        <v>32</v>
      </c>
      <c r="B22" s="21">
        <v>1</v>
      </c>
    </row>
    <row r="23" spans="1:2" x14ac:dyDescent="0.2">
      <c r="A23" s="11" t="s">
        <v>181</v>
      </c>
      <c r="B23" s="21">
        <v>43</v>
      </c>
    </row>
    <row r="24" spans="1:2" x14ac:dyDescent="0.2">
      <c r="A24" s="16" t="s">
        <v>379</v>
      </c>
      <c r="B24" s="21">
        <v>1</v>
      </c>
    </row>
    <row r="25" spans="1:2" x14ac:dyDescent="0.2">
      <c r="A25" s="16" t="s">
        <v>223</v>
      </c>
      <c r="B25" s="21">
        <v>1</v>
      </c>
    </row>
    <row r="26" spans="1:2" x14ac:dyDescent="0.2">
      <c r="A26" s="16" t="s">
        <v>222</v>
      </c>
      <c r="B26" s="21">
        <v>1</v>
      </c>
    </row>
    <row r="27" spans="1:2" x14ac:dyDescent="0.2">
      <c r="A27" s="16" t="s">
        <v>390</v>
      </c>
      <c r="B27" s="21">
        <v>1</v>
      </c>
    </row>
    <row r="28" spans="1:2" x14ac:dyDescent="0.2">
      <c r="A28" s="16" t="s">
        <v>378</v>
      </c>
      <c r="B28" s="21">
        <v>1</v>
      </c>
    </row>
    <row r="29" spans="1:2" x14ac:dyDescent="0.2">
      <c r="A29" s="16" t="s">
        <v>55</v>
      </c>
      <c r="B29" s="21">
        <v>3</v>
      </c>
    </row>
    <row r="30" spans="1:2" x14ac:dyDescent="0.2">
      <c r="A30" s="16" t="s">
        <v>37</v>
      </c>
      <c r="B30" s="21">
        <v>1</v>
      </c>
    </row>
    <row r="31" spans="1:2" x14ac:dyDescent="0.2">
      <c r="A31" s="16" t="s">
        <v>388</v>
      </c>
      <c r="B31" s="21">
        <v>9</v>
      </c>
    </row>
    <row r="32" spans="1:2" x14ac:dyDescent="0.2">
      <c r="A32" s="16" t="s">
        <v>185</v>
      </c>
      <c r="B32" s="21">
        <v>1</v>
      </c>
    </row>
    <row r="33" spans="1:3" x14ac:dyDescent="0.2">
      <c r="A33" s="16" t="s">
        <v>179</v>
      </c>
      <c r="B33" s="21">
        <v>1</v>
      </c>
    </row>
    <row r="34" spans="1:3" x14ac:dyDescent="0.2">
      <c r="A34" s="16" t="s">
        <v>59</v>
      </c>
      <c r="B34" s="21">
        <v>1</v>
      </c>
    </row>
    <row r="35" spans="1:3" x14ac:dyDescent="0.2">
      <c r="A35" s="16" t="s">
        <v>383</v>
      </c>
      <c r="B35" s="21">
        <v>8</v>
      </c>
    </row>
    <row r="36" spans="1:3" x14ac:dyDescent="0.2">
      <c r="A36" s="16" t="s">
        <v>177</v>
      </c>
      <c r="B36" s="21">
        <v>1</v>
      </c>
    </row>
    <row r="37" spans="1:3" x14ac:dyDescent="0.2">
      <c r="A37" s="16" t="s">
        <v>384</v>
      </c>
      <c r="B37" s="21">
        <v>13</v>
      </c>
    </row>
    <row r="38" spans="1:3" x14ac:dyDescent="0.2">
      <c r="A38" s="11" t="s">
        <v>192</v>
      </c>
      <c r="B38" s="21">
        <v>23</v>
      </c>
    </row>
    <row r="39" spans="1:3" x14ac:dyDescent="0.2">
      <c r="A39" s="16" t="s">
        <v>381</v>
      </c>
      <c r="B39" s="21">
        <v>1</v>
      </c>
    </row>
    <row r="40" spans="1:3" x14ac:dyDescent="0.2">
      <c r="A40" s="16" t="s">
        <v>385</v>
      </c>
      <c r="B40" s="21">
        <v>3</v>
      </c>
    </row>
    <row r="41" spans="1:3" x14ac:dyDescent="0.2">
      <c r="A41" s="16" t="s">
        <v>400</v>
      </c>
      <c r="B41" s="21">
        <v>1</v>
      </c>
    </row>
    <row r="42" spans="1:3" x14ac:dyDescent="0.2">
      <c r="A42" s="16" t="s">
        <v>367</v>
      </c>
      <c r="B42" s="21">
        <v>1</v>
      </c>
    </row>
    <row r="43" spans="1:3" x14ac:dyDescent="0.2">
      <c r="A43" s="16" t="s">
        <v>209</v>
      </c>
      <c r="B43" s="21">
        <v>1</v>
      </c>
    </row>
    <row r="44" spans="1:3" x14ac:dyDescent="0.2">
      <c r="A44" s="16" t="s">
        <v>393</v>
      </c>
      <c r="B44" s="21">
        <v>1</v>
      </c>
    </row>
    <row r="45" spans="1:3" x14ac:dyDescent="0.2">
      <c r="A45" s="16" t="s">
        <v>394</v>
      </c>
      <c r="B45" s="21">
        <v>1</v>
      </c>
    </row>
    <row r="46" spans="1:3" x14ac:dyDescent="0.2">
      <c r="A46" s="16" t="s">
        <v>395</v>
      </c>
      <c r="B46" s="21">
        <v>1</v>
      </c>
      <c r="C46">
        <v>3</v>
      </c>
    </row>
    <row r="47" spans="1:3" x14ac:dyDescent="0.2">
      <c r="A47" s="16" t="s">
        <v>396</v>
      </c>
      <c r="B47" s="21">
        <v>1</v>
      </c>
    </row>
    <row r="48" spans="1:3" x14ac:dyDescent="0.2">
      <c r="A48" s="16" t="s">
        <v>382</v>
      </c>
      <c r="B48" s="21">
        <v>2</v>
      </c>
    </row>
    <row r="49" spans="1:3" x14ac:dyDescent="0.2">
      <c r="A49" s="16" t="s">
        <v>388</v>
      </c>
      <c r="B49" s="21">
        <v>3</v>
      </c>
    </row>
    <row r="50" spans="1:3" x14ac:dyDescent="0.2">
      <c r="A50" s="16" t="s">
        <v>32</v>
      </c>
      <c r="B50" s="21">
        <v>1</v>
      </c>
    </row>
    <row r="51" spans="1:3" x14ac:dyDescent="0.2">
      <c r="A51" s="16" t="s">
        <v>383</v>
      </c>
      <c r="B51" s="21">
        <v>3</v>
      </c>
      <c r="C51">
        <v>71</v>
      </c>
    </row>
    <row r="52" spans="1:3" x14ac:dyDescent="0.2">
      <c r="A52" s="16" t="s">
        <v>384</v>
      </c>
      <c r="B52" s="21">
        <v>3</v>
      </c>
    </row>
    <row r="53" spans="1:3" x14ac:dyDescent="0.2">
      <c r="A53" s="11" t="s">
        <v>76</v>
      </c>
      <c r="B53" s="21">
        <v>11</v>
      </c>
    </row>
    <row r="54" spans="1:3" x14ac:dyDescent="0.2">
      <c r="A54" s="16" t="s">
        <v>152</v>
      </c>
      <c r="B54" s="21">
        <v>1</v>
      </c>
    </row>
    <row r="55" spans="1:3" x14ac:dyDescent="0.2">
      <c r="A55" s="16" t="s">
        <v>369</v>
      </c>
      <c r="B55" s="21">
        <v>1</v>
      </c>
    </row>
    <row r="56" spans="1:3" x14ac:dyDescent="0.2">
      <c r="A56" s="16" t="s">
        <v>55</v>
      </c>
      <c r="B56" s="21">
        <v>1</v>
      </c>
    </row>
    <row r="57" spans="1:3" x14ac:dyDescent="0.2">
      <c r="A57" s="16" t="s">
        <v>57</v>
      </c>
      <c r="B57" s="21">
        <v>1</v>
      </c>
    </row>
    <row r="58" spans="1:3" x14ac:dyDescent="0.2">
      <c r="A58" s="16" t="s">
        <v>388</v>
      </c>
      <c r="B58" s="21">
        <v>1</v>
      </c>
    </row>
    <row r="59" spans="1:3" x14ac:dyDescent="0.2">
      <c r="A59" s="16" t="s">
        <v>5</v>
      </c>
      <c r="B59" s="21">
        <v>1</v>
      </c>
    </row>
    <row r="60" spans="1:3" x14ac:dyDescent="0.2">
      <c r="A60" s="16" t="s">
        <v>154</v>
      </c>
      <c r="B60" s="21">
        <v>3</v>
      </c>
    </row>
    <row r="61" spans="1:3" x14ac:dyDescent="0.2">
      <c r="A61" s="16" t="s">
        <v>377</v>
      </c>
      <c r="B61" s="21">
        <v>1</v>
      </c>
    </row>
    <row r="62" spans="1:3" x14ac:dyDescent="0.2">
      <c r="A62" s="16" t="s">
        <v>376</v>
      </c>
      <c r="B62" s="21">
        <v>1</v>
      </c>
    </row>
    <row r="63" spans="1:3" x14ac:dyDescent="0.2">
      <c r="A63" s="8" t="s">
        <v>11</v>
      </c>
      <c r="B63" s="21">
        <v>7</v>
      </c>
    </row>
    <row r="64" spans="1:3" x14ac:dyDescent="0.2">
      <c r="A64" s="11" t="s">
        <v>3</v>
      </c>
      <c r="B64" s="21">
        <v>1</v>
      </c>
    </row>
    <row r="65" spans="1:2" x14ac:dyDescent="0.2">
      <c r="A65" s="16" t="s">
        <v>144</v>
      </c>
      <c r="B65" s="21">
        <v>1</v>
      </c>
    </row>
    <row r="66" spans="1:2" x14ac:dyDescent="0.2">
      <c r="A66" s="11" t="s">
        <v>253</v>
      </c>
      <c r="B66" s="21">
        <v>1</v>
      </c>
    </row>
    <row r="67" spans="1:2" x14ac:dyDescent="0.2">
      <c r="A67" s="16" t="s">
        <v>417</v>
      </c>
      <c r="B67" s="21">
        <v>1</v>
      </c>
    </row>
    <row r="68" spans="1:2" x14ac:dyDescent="0.2">
      <c r="A68" s="11" t="s">
        <v>181</v>
      </c>
      <c r="B68" s="21">
        <v>3</v>
      </c>
    </row>
    <row r="69" spans="1:2" x14ac:dyDescent="0.2">
      <c r="A69" s="16" t="s">
        <v>322</v>
      </c>
      <c r="B69" s="21">
        <v>1</v>
      </c>
    </row>
    <row r="70" spans="1:2" x14ac:dyDescent="0.2">
      <c r="A70" s="16" t="s">
        <v>417</v>
      </c>
      <c r="B70" s="21">
        <v>1</v>
      </c>
    </row>
    <row r="71" spans="1:2" x14ac:dyDescent="0.2">
      <c r="A71" s="16" t="s">
        <v>144</v>
      </c>
      <c r="B71" s="21">
        <v>1</v>
      </c>
    </row>
    <row r="72" spans="1:2" x14ac:dyDescent="0.2">
      <c r="A72" s="11" t="s">
        <v>192</v>
      </c>
      <c r="B72" s="21">
        <v>1</v>
      </c>
    </row>
    <row r="73" spans="1:2" x14ac:dyDescent="0.2">
      <c r="A73" s="16" t="s">
        <v>417</v>
      </c>
      <c r="B73" s="21">
        <v>1</v>
      </c>
    </row>
    <row r="74" spans="1:2" x14ac:dyDescent="0.2">
      <c r="A74" s="11" t="s">
        <v>76</v>
      </c>
      <c r="B74" s="21">
        <v>1</v>
      </c>
    </row>
    <row r="75" spans="1:2" x14ac:dyDescent="0.2">
      <c r="A75" s="16" t="s">
        <v>417</v>
      </c>
      <c r="B75" s="21">
        <v>1</v>
      </c>
    </row>
    <row r="76" spans="1:2" x14ac:dyDescent="0.2">
      <c r="A76" s="8" t="s">
        <v>66</v>
      </c>
      <c r="B76" s="21">
        <v>146</v>
      </c>
    </row>
    <row r="77" spans="1:2" x14ac:dyDescent="0.2">
      <c r="A77" s="11" t="s">
        <v>3</v>
      </c>
      <c r="B77" s="21">
        <v>19</v>
      </c>
    </row>
    <row r="78" spans="1:2" x14ac:dyDescent="0.2">
      <c r="A78" s="16" t="s">
        <v>56</v>
      </c>
      <c r="B78" s="21">
        <v>2</v>
      </c>
    </row>
    <row r="79" spans="1:2" x14ac:dyDescent="0.2">
      <c r="A79" s="16" t="s">
        <v>136</v>
      </c>
      <c r="B79" s="21">
        <v>3</v>
      </c>
    </row>
    <row r="80" spans="1:2" x14ac:dyDescent="0.2">
      <c r="A80" s="16" t="s">
        <v>52</v>
      </c>
      <c r="B80" s="21">
        <v>3</v>
      </c>
    </row>
    <row r="81" spans="1:9" x14ac:dyDescent="0.2">
      <c r="A81" s="16" t="s">
        <v>82</v>
      </c>
      <c r="B81" s="21">
        <v>1</v>
      </c>
    </row>
    <row r="82" spans="1:9" x14ac:dyDescent="0.2">
      <c r="A82" s="16" t="s">
        <v>411</v>
      </c>
      <c r="B82" s="21">
        <v>1</v>
      </c>
      <c r="I82" s="16"/>
    </row>
    <row r="83" spans="1:9" x14ac:dyDescent="0.2">
      <c r="A83" s="16" t="s">
        <v>410</v>
      </c>
      <c r="B83" s="21">
        <v>1</v>
      </c>
      <c r="I83" s="16"/>
    </row>
    <row r="84" spans="1:9" x14ac:dyDescent="0.2">
      <c r="A84" s="16" t="s">
        <v>137</v>
      </c>
      <c r="B84" s="21">
        <v>3</v>
      </c>
      <c r="I84" s="16"/>
    </row>
    <row r="85" spans="1:9" x14ac:dyDescent="0.2">
      <c r="A85" s="16" t="s">
        <v>370</v>
      </c>
      <c r="B85" s="21">
        <v>1</v>
      </c>
      <c r="I85" s="16"/>
    </row>
    <row r="86" spans="1:9" x14ac:dyDescent="0.2">
      <c r="A86" s="16" t="s">
        <v>372</v>
      </c>
      <c r="B86" s="21">
        <v>2</v>
      </c>
      <c r="I86" s="16"/>
    </row>
    <row r="87" spans="1:9" x14ac:dyDescent="0.2">
      <c r="A87" s="16" t="s">
        <v>371</v>
      </c>
      <c r="B87" s="21">
        <v>1</v>
      </c>
      <c r="I87" s="16"/>
    </row>
    <row r="88" spans="1:9" x14ac:dyDescent="0.2">
      <c r="A88" s="16" t="s">
        <v>425</v>
      </c>
      <c r="B88" s="21">
        <v>1</v>
      </c>
      <c r="I88" s="16"/>
    </row>
    <row r="89" spans="1:9" x14ac:dyDescent="0.2">
      <c r="A89" s="11" t="s">
        <v>253</v>
      </c>
      <c r="B89" s="21">
        <v>6</v>
      </c>
      <c r="I89" s="16"/>
    </row>
    <row r="90" spans="1:9" x14ac:dyDescent="0.2">
      <c r="A90" s="16" t="s">
        <v>391</v>
      </c>
      <c r="B90" s="21">
        <v>1</v>
      </c>
      <c r="I90" s="16"/>
    </row>
    <row r="91" spans="1:9" x14ac:dyDescent="0.2">
      <c r="A91" s="16" t="s">
        <v>367</v>
      </c>
      <c r="B91" s="21">
        <v>1</v>
      </c>
      <c r="I91" s="16"/>
    </row>
    <row r="92" spans="1:9" x14ac:dyDescent="0.2">
      <c r="A92" s="16" t="s">
        <v>38</v>
      </c>
      <c r="B92" s="21">
        <v>1</v>
      </c>
      <c r="I92" s="16"/>
    </row>
    <row r="93" spans="1:9" x14ac:dyDescent="0.2">
      <c r="A93" s="16" t="s">
        <v>54</v>
      </c>
      <c r="B93" s="21">
        <v>2</v>
      </c>
      <c r="I93" s="16"/>
    </row>
    <row r="94" spans="1:9" x14ac:dyDescent="0.2">
      <c r="A94" s="16" t="s">
        <v>402</v>
      </c>
      <c r="B94" s="21">
        <v>1</v>
      </c>
      <c r="I94" s="16"/>
    </row>
    <row r="95" spans="1:9" x14ac:dyDescent="0.2">
      <c r="A95" s="11" t="s">
        <v>181</v>
      </c>
      <c r="B95" s="21">
        <v>50</v>
      </c>
      <c r="I95" s="16"/>
    </row>
    <row r="96" spans="1:9" x14ac:dyDescent="0.2">
      <c r="A96" s="16" t="s">
        <v>404</v>
      </c>
      <c r="B96" s="21">
        <v>1</v>
      </c>
      <c r="G96" s="16"/>
      <c r="I96" s="16"/>
    </row>
    <row r="97" spans="1:9" x14ac:dyDescent="0.2">
      <c r="A97" s="16" t="s">
        <v>405</v>
      </c>
      <c r="B97" s="21">
        <v>1</v>
      </c>
      <c r="G97" s="16"/>
      <c r="I97" s="16"/>
    </row>
    <row r="98" spans="1:9" x14ac:dyDescent="0.2">
      <c r="A98" s="16" t="s">
        <v>385</v>
      </c>
      <c r="B98" s="21">
        <v>1</v>
      </c>
      <c r="G98" s="16"/>
      <c r="I98" s="16"/>
    </row>
    <row r="99" spans="1:9" x14ac:dyDescent="0.2">
      <c r="A99" s="16" t="s">
        <v>379</v>
      </c>
      <c r="B99" s="21">
        <v>3</v>
      </c>
      <c r="G99" s="16"/>
      <c r="I99" s="16"/>
    </row>
    <row r="100" spans="1:9" x14ac:dyDescent="0.2">
      <c r="A100" s="16" t="s">
        <v>235</v>
      </c>
      <c r="B100" s="21">
        <v>2</v>
      </c>
      <c r="G100" s="16"/>
      <c r="I100" s="16"/>
    </row>
    <row r="101" spans="1:9" x14ac:dyDescent="0.2">
      <c r="A101" s="16" t="s">
        <v>223</v>
      </c>
      <c r="B101" s="21">
        <v>2</v>
      </c>
      <c r="G101" s="16"/>
      <c r="I101" s="16"/>
    </row>
    <row r="102" spans="1:9" x14ac:dyDescent="0.2">
      <c r="A102" s="16" t="s">
        <v>367</v>
      </c>
      <c r="B102" s="21">
        <v>2</v>
      </c>
      <c r="G102" s="16"/>
      <c r="I102" s="16"/>
    </row>
    <row r="103" spans="1:9" x14ac:dyDescent="0.2">
      <c r="A103" s="16" t="s">
        <v>209</v>
      </c>
      <c r="B103" s="21">
        <v>2</v>
      </c>
      <c r="G103" s="16"/>
      <c r="I103" s="16"/>
    </row>
    <row r="104" spans="1:9" x14ac:dyDescent="0.2">
      <c r="A104" s="16" t="s">
        <v>399</v>
      </c>
      <c r="B104" s="21">
        <v>1</v>
      </c>
      <c r="G104" s="16"/>
      <c r="I104" s="16"/>
    </row>
    <row r="105" spans="1:9" x14ac:dyDescent="0.2">
      <c r="A105" s="16" t="s">
        <v>236</v>
      </c>
      <c r="B105" s="21">
        <v>2</v>
      </c>
      <c r="G105" s="16"/>
      <c r="I105" s="16"/>
    </row>
    <row r="106" spans="1:9" x14ac:dyDescent="0.2">
      <c r="A106" s="16" t="s">
        <v>389</v>
      </c>
      <c r="B106" s="21">
        <v>2</v>
      </c>
      <c r="G106" s="16"/>
      <c r="I106" s="16"/>
    </row>
    <row r="107" spans="1:9" x14ac:dyDescent="0.2">
      <c r="A107" s="16" t="s">
        <v>397</v>
      </c>
      <c r="B107" s="21">
        <v>1</v>
      </c>
      <c r="G107" s="16"/>
      <c r="I107" s="16"/>
    </row>
    <row r="108" spans="1:9" x14ac:dyDescent="0.2">
      <c r="A108" s="16" t="s">
        <v>382</v>
      </c>
      <c r="B108" s="21">
        <v>4</v>
      </c>
      <c r="G108" s="16"/>
      <c r="I108" s="16"/>
    </row>
    <row r="109" spans="1:9" x14ac:dyDescent="0.2">
      <c r="A109" s="16" t="s">
        <v>55</v>
      </c>
      <c r="B109" s="21">
        <v>1</v>
      </c>
      <c r="G109" s="16"/>
      <c r="I109" s="16"/>
    </row>
    <row r="110" spans="1:9" x14ac:dyDescent="0.2">
      <c r="A110" s="16" t="s">
        <v>136</v>
      </c>
      <c r="B110" s="21">
        <v>1</v>
      </c>
      <c r="G110" s="16"/>
      <c r="I110" s="16"/>
    </row>
    <row r="111" spans="1:9" x14ac:dyDescent="0.2">
      <c r="A111" s="16" t="s">
        <v>401</v>
      </c>
      <c r="B111" s="21">
        <v>1</v>
      </c>
      <c r="G111" s="16"/>
      <c r="I111" s="16"/>
    </row>
    <row r="112" spans="1:9" x14ac:dyDescent="0.2">
      <c r="A112" s="16" t="s">
        <v>350</v>
      </c>
      <c r="B112" s="21">
        <v>2</v>
      </c>
      <c r="G112" s="16"/>
      <c r="I112" s="16"/>
    </row>
    <row r="113" spans="1:7" x14ac:dyDescent="0.2">
      <c r="A113" s="16" t="s">
        <v>313</v>
      </c>
      <c r="B113" s="21">
        <v>1</v>
      </c>
      <c r="G113" s="16"/>
    </row>
    <row r="114" spans="1:7" x14ac:dyDescent="0.2">
      <c r="A114" s="16" t="s">
        <v>346</v>
      </c>
      <c r="B114" s="21">
        <v>1</v>
      </c>
      <c r="G114" s="16"/>
    </row>
    <row r="115" spans="1:7" x14ac:dyDescent="0.2">
      <c r="A115" s="16" t="s">
        <v>20</v>
      </c>
      <c r="B115" s="21">
        <v>5</v>
      </c>
      <c r="G115" s="16"/>
    </row>
    <row r="116" spans="1:7" x14ac:dyDescent="0.2">
      <c r="A116" s="16" t="s">
        <v>398</v>
      </c>
      <c r="B116" s="21">
        <v>1</v>
      </c>
      <c r="G116" s="16"/>
    </row>
    <row r="117" spans="1:7" x14ac:dyDescent="0.2">
      <c r="A117" s="16" t="s">
        <v>257</v>
      </c>
      <c r="B117" s="21">
        <v>1</v>
      </c>
      <c r="G117" s="16"/>
    </row>
    <row r="118" spans="1:7" x14ac:dyDescent="0.2">
      <c r="A118" s="16" t="s">
        <v>201</v>
      </c>
      <c r="B118" s="21">
        <v>2</v>
      </c>
      <c r="G118" s="16"/>
    </row>
    <row r="119" spans="1:7" x14ac:dyDescent="0.2">
      <c r="A119" s="16" t="s">
        <v>200</v>
      </c>
      <c r="B119" s="21">
        <v>2</v>
      </c>
      <c r="G119" s="16"/>
    </row>
    <row r="120" spans="1:7" x14ac:dyDescent="0.2">
      <c r="A120" s="16" t="s">
        <v>286</v>
      </c>
      <c r="B120" s="21">
        <v>1</v>
      </c>
      <c r="G120" s="16"/>
    </row>
    <row r="121" spans="1:7" x14ac:dyDescent="0.2">
      <c r="A121" s="16" t="s">
        <v>392</v>
      </c>
      <c r="B121" s="21">
        <v>1</v>
      </c>
      <c r="G121" s="16"/>
    </row>
    <row r="122" spans="1:7" x14ac:dyDescent="0.2">
      <c r="A122" s="16" t="s">
        <v>35</v>
      </c>
      <c r="B122" s="21">
        <v>1</v>
      </c>
      <c r="C122">
        <v>5</v>
      </c>
      <c r="G122" s="16"/>
    </row>
    <row r="123" spans="1:7" x14ac:dyDescent="0.2">
      <c r="A123" s="16" t="s">
        <v>425</v>
      </c>
      <c r="B123" s="21">
        <v>3</v>
      </c>
      <c r="G123" s="16"/>
    </row>
    <row r="124" spans="1:7" x14ac:dyDescent="0.2">
      <c r="A124" s="16" t="s">
        <v>426</v>
      </c>
      <c r="B124" s="21">
        <v>2</v>
      </c>
      <c r="G124" s="16"/>
    </row>
    <row r="125" spans="1:7" x14ac:dyDescent="0.2">
      <c r="A125" s="11" t="s">
        <v>192</v>
      </c>
      <c r="B125" s="21">
        <v>38</v>
      </c>
      <c r="G125" s="16"/>
    </row>
    <row r="126" spans="1:7" x14ac:dyDescent="0.2">
      <c r="A126" s="16" t="s">
        <v>385</v>
      </c>
      <c r="B126" s="21">
        <v>1</v>
      </c>
      <c r="G126" s="16"/>
    </row>
    <row r="127" spans="1:7" x14ac:dyDescent="0.2">
      <c r="A127" s="16" t="s">
        <v>386</v>
      </c>
      <c r="B127" s="21">
        <v>1</v>
      </c>
      <c r="G127" s="16"/>
    </row>
    <row r="128" spans="1:7" x14ac:dyDescent="0.2">
      <c r="A128" s="16" t="s">
        <v>380</v>
      </c>
      <c r="B128" s="21">
        <v>1</v>
      </c>
      <c r="C128">
        <f>SUM(C6:C127)</f>
        <v>117</v>
      </c>
      <c r="G128" s="16"/>
    </row>
    <row r="129" spans="1:7" x14ac:dyDescent="0.2">
      <c r="A129" s="16" t="s">
        <v>379</v>
      </c>
      <c r="B129" s="21">
        <v>2</v>
      </c>
      <c r="G129" s="16"/>
    </row>
    <row r="130" spans="1:7" x14ac:dyDescent="0.2">
      <c r="A130" s="16" t="s">
        <v>391</v>
      </c>
      <c r="B130" s="21">
        <v>1</v>
      </c>
      <c r="G130" s="16"/>
    </row>
    <row r="131" spans="1:7" x14ac:dyDescent="0.2">
      <c r="A131" s="16" t="s">
        <v>235</v>
      </c>
      <c r="B131" s="21">
        <v>1</v>
      </c>
      <c r="G131" s="16"/>
    </row>
    <row r="132" spans="1:7" x14ac:dyDescent="0.2">
      <c r="A132" s="16" t="s">
        <v>221</v>
      </c>
      <c r="B132" s="21">
        <v>1</v>
      </c>
      <c r="G132" s="16"/>
    </row>
    <row r="133" spans="1:7" x14ac:dyDescent="0.2">
      <c r="A133" s="16" t="s">
        <v>223</v>
      </c>
      <c r="B133" s="21">
        <v>2</v>
      </c>
      <c r="G133" s="16"/>
    </row>
    <row r="134" spans="1:7" x14ac:dyDescent="0.2">
      <c r="A134" s="16" t="s">
        <v>222</v>
      </c>
      <c r="B134" s="21">
        <v>1</v>
      </c>
      <c r="G134" s="16"/>
    </row>
    <row r="135" spans="1:7" x14ac:dyDescent="0.2">
      <c r="A135" s="16" t="s">
        <v>220</v>
      </c>
      <c r="B135" s="21">
        <v>1</v>
      </c>
      <c r="G135" s="16"/>
    </row>
    <row r="136" spans="1:7" x14ac:dyDescent="0.2">
      <c r="A136" s="16" t="s">
        <v>367</v>
      </c>
      <c r="B136" s="21">
        <v>1</v>
      </c>
      <c r="G136" s="16"/>
    </row>
    <row r="137" spans="1:7" x14ac:dyDescent="0.2">
      <c r="A137" s="16" t="s">
        <v>209</v>
      </c>
      <c r="B137" s="21">
        <v>1</v>
      </c>
      <c r="G137" s="16"/>
    </row>
    <row r="138" spans="1:7" x14ac:dyDescent="0.2">
      <c r="A138" s="16" t="s">
        <v>387</v>
      </c>
      <c r="B138" s="21">
        <v>1</v>
      </c>
      <c r="G138" s="16"/>
    </row>
    <row r="139" spans="1:7" x14ac:dyDescent="0.2">
      <c r="A139" s="16" t="s">
        <v>236</v>
      </c>
      <c r="B139" s="21">
        <v>1</v>
      </c>
      <c r="G139" s="16"/>
    </row>
    <row r="140" spans="1:7" x14ac:dyDescent="0.2">
      <c r="A140" s="16" t="s">
        <v>389</v>
      </c>
      <c r="B140" s="21">
        <v>1</v>
      </c>
      <c r="G140" s="16"/>
    </row>
    <row r="141" spans="1:7" x14ac:dyDescent="0.2">
      <c r="A141" s="16" t="s">
        <v>224</v>
      </c>
      <c r="B141" s="21">
        <v>1</v>
      </c>
      <c r="G141" s="16"/>
    </row>
    <row r="142" spans="1:7" x14ac:dyDescent="0.2">
      <c r="A142" s="16" t="s">
        <v>382</v>
      </c>
      <c r="B142" s="21">
        <v>2</v>
      </c>
      <c r="G142" s="16"/>
    </row>
    <row r="143" spans="1:7" x14ac:dyDescent="0.2">
      <c r="A143" s="16" t="s">
        <v>55</v>
      </c>
      <c r="B143" s="21">
        <v>3</v>
      </c>
      <c r="G143" s="16"/>
    </row>
    <row r="144" spans="1:7" x14ac:dyDescent="0.2">
      <c r="A144" s="16" t="s">
        <v>20</v>
      </c>
      <c r="B144" s="21">
        <v>1</v>
      </c>
      <c r="G144" s="16"/>
    </row>
    <row r="145" spans="1:7" x14ac:dyDescent="0.2">
      <c r="A145" s="16" t="s">
        <v>373</v>
      </c>
      <c r="B145" s="21">
        <v>1</v>
      </c>
      <c r="G145" s="16"/>
    </row>
    <row r="146" spans="1:7" x14ac:dyDescent="0.2">
      <c r="A146" s="16" t="s">
        <v>407</v>
      </c>
      <c r="B146" s="21">
        <v>1</v>
      </c>
      <c r="G146" s="16"/>
    </row>
    <row r="147" spans="1:7" x14ac:dyDescent="0.2">
      <c r="A147" s="16" t="s">
        <v>406</v>
      </c>
      <c r="B147" s="21">
        <v>1</v>
      </c>
      <c r="G147" s="16"/>
    </row>
    <row r="148" spans="1:7" x14ac:dyDescent="0.2">
      <c r="A148" s="16" t="s">
        <v>54</v>
      </c>
      <c r="B148" s="21">
        <v>1</v>
      </c>
      <c r="G148" s="16"/>
    </row>
    <row r="149" spans="1:7" x14ac:dyDescent="0.2">
      <c r="A149" s="16" t="s">
        <v>201</v>
      </c>
      <c r="B149" s="21">
        <v>2</v>
      </c>
      <c r="G149" s="16"/>
    </row>
    <row r="150" spans="1:7" x14ac:dyDescent="0.2">
      <c r="A150" s="16" t="s">
        <v>60</v>
      </c>
      <c r="B150" s="21">
        <v>1</v>
      </c>
      <c r="G150" s="16"/>
    </row>
    <row r="151" spans="1:7" x14ac:dyDescent="0.2">
      <c r="A151" s="16" t="s">
        <v>237</v>
      </c>
      <c r="B151" s="21">
        <v>1</v>
      </c>
      <c r="G151" s="16"/>
    </row>
    <row r="152" spans="1:7" x14ac:dyDescent="0.2">
      <c r="A152" s="16" t="s">
        <v>241</v>
      </c>
      <c r="B152" s="21">
        <v>1</v>
      </c>
      <c r="G152" s="16"/>
    </row>
    <row r="153" spans="1:7" x14ac:dyDescent="0.2">
      <c r="A153" s="16" t="s">
        <v>331</v>
      </c>
      <c r="B153" s="21">
        <v>1</v>
      </c>
      <c r="G153" s="16"/>
    </row>
    <row r="154" spans="1:7" x14ac:dyDescent="0.2">
      <c r="A154" s="16" t="s">
        <v>332</v>
      </c>
      <c r="B154" s="21">
        <v>1</v>
      </c>
      <c r="G154" s="16"/>
    </row>
    <row r="155" spans="1:7" x14ac:dyDescent="0.2">
      <c r="A155" s="16" t="s">
        <v>425</v>
      </c>
      <c r="B155" s="21">
        <v>2</v>
      </c>
      <c r="G155" s="16"/>
    </row>
    <row r="156" spans="1:7" x14ac:dyDescent="0.2">
      <c r="A156" s="16" t="s">
        <v>426</v>
      </c>
      <c r="B156" s="21">
        <v>1</v>
      </c>
      <c r="G156" s="16"/>
    </row>
    <row r="157" spans="1:7" x14ac:dyDescent="0.2">
      <c r="A157" s="11" t="s">
        <v>76</v>
      </c>
      <c r="B157" s="21">
        <v>33</v>
      </c>
      <c r="G157" s="16"/>
    </row>
    <row r="158" spans="1:7" x14ac:dyDescent="0.2">
      <c r="A158" s="16" t="s">
        <v>403</v>
      </c>
      <c r="B158" s="21">
        <v>2</v>
      </c>
      <c r="G158" s="16"/>
    </row>
    <row r="159" spans="1:7" x14ac:dyDescent="0.2">
      <c r="A159" s="16" t="s">
        <v>142</v>
      </c>
      <c r="B159" s="21">
        <v>1</v>
      </c>
      <c r="G159" s="16"/>
    </row>
    <row r="160" spans="1:7" x14ac:dyDescent="0.2">
      <c r="A160" s="16" t="s">
        <v>277</v>
      </c>
      <c r="B160" s="21">
        <v>1</v>
      </c>
      <c r="G160" s="16"/>
    </row>
    <row r="161" spans="1:7" x14ac:dyDescent="0.2">
      <c r="A161" s="16" t="s">
        <v>56</v>
      </c>
      <c r="B161" s="21">
        <v>5</v>
      </c>
      <c r="G161" s="16"/>
    </row>
    <row r="162" spans="1:7" x14ac:dyDescent="0.2">
      <c r="A162" s="16" t="s">
        <v>1</v>
      </c>
      <c r="B162" s="21">
        <v>1</v>
      </c>
      <c r="G162" s="16"/>
    </row>
    <row r="163" spans="1:7" x14ac:dyDescent="0.2">
      <c r="A163" s="16" t="s">
        <v>136</v>
      </c>
      <c r="B163" s="21">
        <v>3</v>
      </c>
      <c r="G163" s="16"/>
    </row>
    <row r="164" spans="1:7" x14ac:dyDescent="0.2">
      <c r="A164" s="16" t="s">
        <v>52</v>
      </c>
      <c r="B164" s="21">
        <v>4</v>
      </c>
      <c r="G164" s="16"/>
    </row>
    <row r="165" spans="1:7" x14ac:dyDescent="0.2">
      <c r="A165" s="16" t="s">
        <v>278</v>
      </c>
      <c r="B165" s="21">
        <v>1</v>
      </c>
      <c r="G165" s="16"/>
    </row>
    <row r="166" spans="1:7" x14ac:dyDescent="0.2">
      <c r="A166" s="16" t="s">
        <v>7</v>
      </c>
      <c r="B166" s="21">
        <v>1</v>
      </c>
      <c r="G166" s="16"/>
    </row>
    <row r="167" spans="1:7" x14ac:dyDescent="0.2">
      <c r="A167" s="16" t="s">
        <v>20</v>
      </c>
      <c r="B167" s="21">
        <v>1</v>
      </c>
      <c r="G167" s="16"/>
    </row>
    <row r="168" spans="1:7" x14ac:dyDescent="0.2">
      <c r="A168" s="16" t="s">
        <v>373</v>
      </c>
      <c r="B168" s="21">
        <v>1</v>
      </c>
      <c r="G168" s="16"/>
    </row>
    <row r="169" spans="1:7" x14ac:dyDescent="0.2">
      <c r="A169" s="16" t="s">
        <v>65</v>
      </c>
      <c r="B169" s="21">
        <v>2</v>
      </c>
      <c r="G169" s="16"/>
    </row>
    <row r="170" spans="1:7" x14ac:dyDescent="0.2">
      <c r="A170" s="16" t="s">
        <v>374</v>
      </c>
      <c r="B170" s="21">
        <v>1</v>
      </c>
      <c r="G170" s="16"/>
    </row>
    <row r="171" spans="1:7" x14ac:dyDescent="0.2">
      <c r="A171" s="16" t="s">
        <v>173</v>
      </c>
      <c r="B171" s="21">
        <v>1</v>
      </c>
      <c r="G171" s="16"/>
    </row>
    <row r="172" spans="1:7" x14ac:dyDescent="0.2">
      <c r="A172" s="16" t="s">
        <v>147</v>
      </c>
      <c r="B172" s="21">
        <v>1</v>
      </c>
      <c r="G172" s="16"/>
    </row>
    <row r="173" spans="1:7" x14ac:dyDescent="0.2">
      <c r="A173" s="16" t="s">
        <v>41</v>
      </c>
      <c r="B173" s="21">
        <v>1</v>
      </c>
      <c r="G173" s="16"/>
    </row>
    <row r="174" spans="1:7" x14ac:dyDescent="0.2">
      <c r="A174" s="16" t="s">
        <v>372</v>
      </c>
      <c r="B174" s="21">
        <v>2</v>
      </c>
      <c r="G174" s="16"/>
    </row>
    <row r="175" spans="1:7" x14ac:dyDescent="0.2">
      <c r="A175" s="16" t="s">
        <v>8</v>
      </c>
      <c r="B175" s="21">
        <v>2</v>
      </c>
      <c r="G175" s="16"/>
    </row>
    <row r="176" spans="1:7" x14ac:dyDescent="0.2">
      <c r="A176" s="16" t="s">
        <v>353</v>
      </c>
      <c r="B176" s="21">
        <v>1</v>
      </c>
    </row>
    <row r="177" spans="1:2" x14ac:dyDescent="0.2">
      <c r="A177" s="16" t="s">
        <v>2</v>
      </c>
      <c r="B177" s="21">
        <v>1</v>
      </c>
    </row>
    <row r="178" spans="1:2" x14ac:dyDescent="0.2">
      <c r="A178" s="8" t="s">
        <v>4</v>
      </c>
      <c r="B178" s="21">
        <v>86</v>
      </c>
    </row>
    <row r="179" spans="1:2" x14ac:dyDescent="0.2">
      <c r="A179" s="11" t="s">
        <v>3</v>
      </c>
      <c r="B179" s="21">
        <v>18</v>
      </c>
    </row>
    <row r="180" spans="1:2" x14ac:dyDescent="0.2">
      <c r="A180" s="16" t="s">
        <v>316</v>
      </c>
      <c r="B180" s="21">
        <v>8</v>
      </c>
    </row>
    <row r="181" spans="1:2" x14ac:dyDescent="0.2">
      <c r="A181" s="16" t="s">
        <v>170</v>
      </c>
      <c r="B181" s="21">
        <v>10</v>
      </c>
    </row>
    <row r="182" spans="1:2" x14ac:dyDescent="0.2">
      <c r="A182" s="11" t="s">
        <v>253</v>
      </c>
      <c r="B182" s="21">
        <v>5</v>
      </c>
    </row>
    <row r="183" spans="1:2" x14ac:dyDescent="0.2">
      <c r="A183" s="16" t="s">
        <v>316</v>
      </c>
      <c r="B183" s="21">
        <v>1</v>
      </c>
    </row>
    <row r="184" spans="1:2" x14ac:dyDescent="0.2">
      <c r="A184" s="16" t="s">
        <v>170</v>
      </c>
      <c r="B184" s="21">
        <v>4</v>
      </c>
    </row>
    <row r="185" spans="1:2" x14ac:dyDescent="0.2">
      <c r="A185" s="11" t="s">
        <v>181</v>
      </c>
      <c r="B185" s="21">
        <v>34</v>
      </c>
    </row>
    <row r="186" spans="1:2" x14ac:dyDescent="0.2">
      <c r="A186" s="16" t="s">
        <v>316</v>
      </c>
      <c r="B186" s="21">
        <v>5</v>
      </c>
    </row>
    <row r="187" spans="1:2" x14ac:dyDescent="0.2">
      <c r="A187" s="16" t="s">
        <v>289</v>
      </c>
      <c r="B187" s="21">
        <v>1</v>
      </c>
    </row>
    <row r="188" spans="1:2" x14ac:dyDescent="0.2">
      <c r="A188" s="16" t="s">
        <v>212</v>
      </c>
      <c r="B188" s="21">
        <v>2</v>
      </c>
    </row>
    <row r="189" spans="1:2" x14ac:dyDescent="0.2">
      <c r="A189" s="16" t="s">
        <v>170</v>
      </c>
      <c r="B189" s="21">
        <v>26</v>
      </c>
    </row>
    <row r="190" spans="1:2" x14ac:dyDescent="0.2">
      <c r="A190" s="11" t="s">
        <v>192</v>
      </c>
      <c r="B190" s="21">
        <v>17</v>
      </c>
    </row>
    <row r="191" spans="1:2" x14ac:dyDescent="0.2">
      <c r="A191" s="16" t="s">
        <v>212</v>
      </c>
      <c r="B191" s="21">
        <v>3</v>
      </c>
    </row>
    <row r="192" spans="1:2" x14ac:dyDescent="0.2">
      <c r="A192" s="16" t="s">
        <v>170</v>
      </c>
      <c r="B192" s="21">
        <v>13</v>
      </c>
    </row>
    <row r="193" spans="1:2" x14ac:dyDescent="0.2">
      <c r="A193" s="16" t="s">
        <v>211</v>
      </c>
      <c r="B193" s="21">
        <v>1</v>
      </c>
    </row>
    <row r="194" spans="1:2" x14ac:dyDescent="0.2">
      <c r="A194" s="11" t="s">
        <v>76</v>
      </c>
      <c r="B194" s="21">
        <v>12</v>
      </c>
    </row>
    <row r="195" spans="1:2" x14ac:dyDescent="0.2">
      <c r="A195" s="16" t="s">
        <v>316</v>
      </c>
      <c r="B195" s="21">
        <v>1</v>
      </c>
    </row>
    <row r="196" spans="1:2" x14ac:dyDescent="0.2">
      <c r="A196" s="16" t="s">
        <v>170</v>
      </c>
      <c r="B196" s="21">
        <v>11</v>
      </c>
    </row>
    <row r="197" spans="1:2" x14ac:dyDescent="0.2">
      <c r="A197" s="8" t="s">
        <v>413</v>
      </c>
      <c r="B197" s="21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D9EE-31D2-4409-BB24-648D31A743FB}">
  <dimension ref="A1:K332"/>
  <sheetViews>
    <sheetView topLeftCell="A298" workbookViewId="0">
      <selection activeCell="J333" sqref="J333"/>
    </sheetView>
  </sheetViews>
  <sheetFormatPr baseColWidth="10" defaultColWidth="8.83203125" defaultRowHeight="15" x14ac:dyDescent="0.2"/>
  <cols>
    <col min="1" max="1" width="6.83203125" customWidth="1"/>
    <col min="2" max="2" width="46.5" customWidth="1"/>
    <col min="3" max="3" width="18.5" customWidth="1"/>
    <col min="4" max="4" width="26" customWidth="1"/>
    <col min="5" max="5" width="11.83203125" customWidth="1"/>
    <col min="6" max="6" width="11.5" customWidth="1"/>
    <col min="7" max="7" width="31.5" customWidth="1"/>
    <col min="8" max="8" width="27.33203125" customWidth="1"/>
    <col min="9" max="9" width="18.83203125" customWidth="1"/>
    <col min="10" max="10" width="36.5" customWidth="1"/>
    <col min="11" max="11" width="48.5" customWidth="1"/>
  </cols>
  <sheetData>
    <row r="1" spans="1:11" s="3" customFormat="1" x14ac:dyDescent="0.2">
      <c r="A1" s="3" t="s">
        <v>70</v>
      </c>
    </row>
    <row r="3" spans="1:11" x14ac:dyDescent="0.2">
      <c r="A3" t="s">
        <v>109</v>
      </c>
      <c r="B3" t="s">
        <v>71</v>
      </c>
      <c r="C3" t="s">
        <v>72</v>
      </c>
      <c r="D3" t="s">
        <v>49</v>
      </c>
      <c r="E3" t="s">
        <v>181</v>
      </c>
      <c r="F3" t="s">
        <v>3</v>
      </c>
      <c r="G3" t="s">
        <v>368</v>
      </c>
      <c r="H3" t="s">
        <v>0</v>
      </c>
      <c r="I3" t="s">
        <v>134</v>
      </c>
      <c r="J3" t="s">
        <v>68</v>
      </c>
      <c r="K3" t="s">
        <v>73</v>
      </c>
    </row>
    <row r="4" spans="1:11" x14ac:dyDescent="0.2">
      <c r="A4" s="1">
        <v>1</v>
      </c>
      <c r="B4" t="s">
        <v>74</v>
      </c>
      <c r="C4" t="s">
        <v>75</v>
      </c>
      <c r="D4" t="s">
        <v>76</v>
      </c>
      <c r="E4" t="b">
        <v>0</v>
      </c>
      <c r="F4" t="b">
        <v>1</v>
      </c>
      <c r="G4" t="s">
        <v>369</v>
      </c>
      <c r="H4" t="s">
        <v>77</v>
      </c>
      <c r="I4" t="s">
        <v>141</v>
      </c>
      <c r="J4" t="s">
        <v>62</v>
      </c>
    </row>
    <row r="5" spans="1:11" x14ac:dyDescent="0.2">
      <c r="A5" s="1">
        <v>2</v>
      </c>
      <c r="B5" t="s">
        <v>74</v>
      </c>
      <c r="C5" t="s">
        <v>75</v>
      </c>
      <c r="D5" t="s">
        <v>76</v>
      </c>
      <c r="E5" t="b">
        <v>1</v>
      </c>
      <c r="F5" t="b">
        <v>1</v>
      </c>
      <c r="G5" t="s">
        <v>170</v>
      </c>
      <c r="H5" t="s">
        <v>233</v>
      </c>
      <c r="I5" t="s">
        <v>138</v>
      </c>
      <c r="J5" t="s">
        <v>4</v>
      </c>
    </row>
    <row r="6" spans="1:11" x14ac:dyDescent="0.2">
      <c r="A6" s="1">
        <v>3</v>
      </c>
      <c r="B6" t="s">
        <v>78</v>
      </c>
      <c r="C6" t="s">
        <v>79</v>
      </c>
      <c r="D6" t="s">
        <v>3</v>
      </c>
      <c r="E6" t="b">
        <v>0</v>
      </c>
      <c r="F6" t="b">
        <v>1</v>
      </c>
      <c r="G6" t="s">
        <v>52</v>
      </c>
      <c r="H6" t="s">
        <v>52</v>
      </c>
      <c r="I6" t="s">
        <v>61</v>
      </c>
      <c r="J6" t="s">
        <v>66</v>
      </c>
    </row>
    <row r="7" spans="1:11" x14ac:dyDescent="0.2">
      <c r="A7" s="1">
        <v>4</v>
      </c>
      <c r="B7" t="s">
        <v>78</v>
      </c>
      <c r="C7" t="s">
        <v>79</v>
      </c>
      <c r="D7" t="s">
        <v>3</v>
      </c>
      <c r="E7" t="b">
        <v>0</v>
      </c>
      <c r="F7" t="b">
        <v>1</v>
      </c>
      <c r="G7" t="s">
        <v>136</v>
      </c>
      <c r="H7" t="s">
        <v>151</v>
      </c>
      <c r="I7" t="s">
        <v>61</v>
      </c>
      <c r="J7" t="s">
        <v>66</v>
      </c>
    </row>
    <row r="8" spans="1:11" x14ac:dyDescent="0.2">
      <c r="A8" s="1">
        <v>5</v>
      </c>
      <c r="B8" t="s">
        <v>78</v>
      </c>
      <c r="C8" t="s">
        <v>79</v>
      </c>
      <c r="D8" t="s">
        <v>3</v>
      </c>
      <c r="E8" t="b">
        <v>0</v>
      </c>
      <c r="F8" t="b">
        <v>1</v>
      </c>
      <c r="G8" t="s">
        <v>137</v>
      </c>
      <c r="H8" t="s">
        <v>137</v>
      </c>
      <c r="I8" t="s">
        <v>61</v>
      </c>
      <c r="J8" t="s">
        <v>66</v>
      </c>
    </row>
    <row r="9" spans="1:11" x14ac:dyDescent="0.2">
      <c r="A9" s="1">
        <v>6</v>
      </c>
      <c r="B9" t="s">
        <v>80</v>
      </c>
      <c r="C9" t="s">
        <v>14</v>
      </c>
      <c r="D9" t="s">
        <v>3</v>
      </c>
      <c r="E9" t="b">
        <v>0</v>
      </c>
      <c r="F9" t="b">
        <v>1</v>
      </c>
      <c r="G9" t="s">
        <v>370</v>
      </c>
      <c r="H9" t="s">
        <v>12</v>
      </c>
      <c r="I9" t="s">
        <v>138</v>
      </c>
      <c r="J9" t="s">
        <v>66</v>
      </c>
    </row>
    <row r="10" spans="1:11" x14ac:dyDescent="0.2">
      <c r="A10" s="1">
        <v>7</v>
      </c>
      <c r="B10" t="s">
        <v>80</v>
      </c>
      <c r="C10" t="s">
        <v>14</v>
      </c>
      <c r="D10" t="s">
        <v>3</v>
      </c>
      <c r="E10" t="b">
        <v>0</v>
      </c>
      <c r="F10" t="b">
        <v>1</v>
      </c>
      <c r="G10" t="s">
        <v>371</v>
      </c>
      <c r="H10" t="s">
        <v>13</v>
      </c>
      <c r="I10" t="s">
        <v>138</v>
      </c>
      <c r="J10" t="s">
        <v>66</v>
      </c>
    </row>
    <row r="11" spans="1:11" x14ac:dyDescent="0.2">
      <c r="A11" s="1">
        <v>8</v>
      </c>
      <c r="B11" t="s">
        <v>81</v>
      </c>
      <c r="C11" t="s">
        <v>14</v>
      </c>
      <c r="D11" t="s">
        <v>3</v>
      </c>
      <c r="E11" t="b">
        <v>0</v>
      </c>
      <c r="F11" t="b">
        <v>0</v>
      </c>
      <c r="G11" t="s">
        <v>425</v>
      </c>
      <c r="H11" t="s">
        <v>421</v>
      </c>
      <c r="I11" t="s">
        <v>61</v>
      </c>
      <c r="J11" t="s">
        <v>66</v>
      </c>
    </row>
    <row r="12" spans="1:11" x14ac:dyDescent="0.2">
      <c r="A12" s="1">
        <v>9</v>
      </c>
      <c r="B12" t="s">
        <v>81</v>
      </c>
      <c r="C12" t="s">
        <v>14</v>
      </c>
      <c r="D12" t="s">
        <v>3</v>
      </c>
      <c r="E12" t="b">
        <v>0</v>
      </c>
      <c r="F12" t="b">
        <v>1</v>
      </c>
      <c r="G12" t="s">
        <v>82</v>
      </c>
      <c r="H12" t="s">
        <v>82</v>
      </c>
      <c r="I12" t="s">
        <v>138</v>
      </c>
      <c r="J12" t="s">
        <v>66</v>
      </c>
    </row>
    <row r="13" spans="1:11" x14ac:dyDescent="0.2">
      <c r="A13" s="1">
        <v>10</v>
      </c>
      <c r="B13" t="s">
        <v>83</v>
      </c>
      <c r="C13" t="s">
        <v>16</v>
      </c>
      <c r="D13" t="s">
        <v>3</v>
      </c>
      <c r="E13" t="b">
        <v>1</v>
      </c>
      <c r="F13" t="b">
        <v>1</v>
      </c>
      <c r="G13" t="s">
        <v>170</v>
      </c>
      <c r="H13" t="s">
        <v>84</v>
      </c>
      <c r="I13" t="s">
        <v>138</v>
      </c>
      <c r="J13" t="s">
        <v>4</v>
      </c>
    </row>
    <row r="14" spans="1:11" x14ac:dyDescent="0.2">
      <c r="A14" s="1">
        <v>11</v>
      </c>
      <c r="B14" t="s">
        <v>83</v>
      </c>
      <c r="C14" t="s">
        <v>16</v>
      </c>
      <c r="D14" t="s">
        <v>3</v>
      </c>
      <c r="E14" t="b">
        <v>1</v>
      </c>
      <c r="F14" t="b">
        <v>1</v>
      </c>
      <c r="G14" t="s">
        <v>170</v>
      </c>
      <c r="H14" t="s">
        <v>85</v>
      </c>
      <c r="I14" t="s">
        <v>138</v>
      </c>
      <c r="J14" t="s">
        <v>4</v>
      </c>
    </row>
    <row r="15" spans="1:11" x14ac:dyDescent="0.2">
      <c r="A15" s="1">
        <v>12</v>
      </c>
      <c r="B15" t="s">
        <v>83</v>
      </c>
      <c r="C15" t="s">
        <v>16</v>
      </c>
      <c r="D15" t="s">
        <v>3</v>
      </c>
      <c r="E15" t="b">
        <v>1</v>
      </c>
      <c r="F15" t="b">
        <v>1</v>
      </c>
      <c r="G15" t="s">
        <v>170</v>
      </c>
      <c r="H15" t="s">
        <v>86</v>
      </c>
      <c r="I15" t="s">
        <v>138</v>
      </c>
      <c r="J15" t="s">
        <v>4</v>
      </c>
    </row>
    <row r="16" spans="1:11" x14ac:dyDescent="0.2">
      <c r="A16" s="1">
        <v>13</v>
      </c>
      <c r="B16" t="s">
        <v>83</v>
      </c>
      <c r="C16" t="s">
        <v>16</v>
      </c>
      <c r="D16" t="s">
        <v>3</v>
      </c>
      <c r="E16" t="b">
        <v>1</v>
      </c>
      <c r="F16" t="b">
        <v>1</v>
      </c>
      <c r="G16" t="s">
        <v>170</v>
      </c>
      <c r="H16" t="s">
        <v>87</v>
      </c>
      <c r="I16" t="s">
        <v>138</v>
      </c>
      <c r="J16" t="s">
        <v>4</v>
      </c>
    </row>
    <row r="17" spans="1:10" x14ac:dyDescent="0.2">
      <c r="A17" s="1">
        <v>14</v>
      </c>
      <c r="B17" t="s">
        <v>83</v>
      </c>
      <c r="C17" t="s">
        <v>16</v>
      </c>
      <c r="D17" t="s">
        <v>3</v>
      </c>
      <c r="E17" t="b">
        <v>0</v>
      </c>
      <c r="F17" t="b">
        <v>0</v>
      </c>
      <c r="G17" t="s">
        <v>88</v>
      </c>
      <c r="H17" t="s">
        <v>88</v>
      </c>
      <c r="I17" t="s">
        <v>138</v>
      </c>
      <c r="J17" t="s">
        <v>17</v>
      </c>
    </row>
    <row r="18" spans="1:10" x14ac:dyDescent="0.2">
      <c r="A18" s="1">
        <v>15</v>
      </c>
      <c r="B18" t="s">
        <v>89</v>
      </c>
      <c r="C18" t="s">
        <v>90</v>
      </c>
      <c r="D18" t="s">
        <v>3</v>
      </c>
      <c r="E18" t="b">
        <v>0</v>
      </c>
      <c r="F18" t="b">
        <v>1</v>
      </c>
      <c r="G18" t="s">
        <v>408</v>
      </c>
      <c r="H18" t="s">
        <v>91</v>
      </c>
      <c r="I18" t="s">
        <v>138</v>
      </c>
      <c r="J18" t="s">
        <v>62</v>
      </c>
    </row>
    <row r="19" spans="1:10" x14ac:dyDescent="0.2">
      <c r="A19" s="1">
        <v>16</v>
      </c>
      <c r="B19" t="s">
        <v>89</v>
      </c>
      <c r="C19" t="s">
        <v>92</v>
      </c>
      <c r="D19" t="s">
        <v>3</v>
      </c>
      <c r="E19" t="b">
        <v>0</v>
      </c>
      <c r="F19" t="b">
        <v>1</v>
      </c>
      <c r="G19" t="s">
        <v>409</v>
      </c>
      <c r="H19" t="s">
        <v>93</v>
      </c>
      <c r="I19" t="s">
        <v>138</v>
      </c>
      <c r="J19" t="s">
        <v>62</v>
      </c>
    </row>
    <row r="20" spans="1:10" x14ac:dyDescent="0.2">
      <c r="A20" s="1">
        <v>17</v>
      </c>
      <c r="B20" t="s">
        <v>89</v>
      </c>
      <c r="C20" t="s">
        <v>94</v>
      </c>
      <c r="D20" t="s">
        <v>3</v>
      </c>
      <c r="E20" t="b">
        <v>0</v>
      </c>
      <c r="F20" t="b">
        <v>1</v>
      </c>
      <c r="G20" t="s">
        <v>410</v>
      </c>
      <c r="H20" t="s">
        <v>95</v>
      </c>
      <c r="I20" t="s">
        <v>138</v>
      </c>
      <c r="J20" t="s">
        <v>66</v>
      </c>
    </row>
    <row r="21" spans="1:10" x14ac:dyDescent="0.2">
      <c r="A21" s="1">
        <v>18</v>
      </c>
      <c r="B21" t="s">
        <v>89</v>
      </c>
      <c r="C21" t="s">
        <v>96</v>
      </c>
      <c r="D21" t="s">
        <v>3</v>
      </c>
      <c r="E21" t="b">
        <v>0</v>
      </c>
      <c r="F21" t="b">
        <v>1</v>
      </c>
      <c r="G21" t="s">
        <v>411</v>
      </c>
      <c r="H21" t="s">
        <v>97</v>
      </c>
      <c r="I21" t="s">
        <v>138</v>
      </c>
      <c r="J21" t="s">
        <v>66</v>
      </c>
    </row>
    <row r="22" spans="1:10" x14ac:dyDescent="0.2">
      <c r="A22" s="1">
        <v>19</v>
      </c>
      <c r="B22" t="s">
        <v>98</v>
      </c>
      <c r="C22" t="s">
        <v>99</v>
      </c>
      <c r="D22" t="s">
        <v>3</v>
      </c>
      <c r="E22" t="b">
        <v>1</v>
      </c>
      <c r="F22" t="b">
        <v>1</v>
      </c>
      <c r="G22" t="s">
        <v>170</v>
      </c>
      <c r="H22" t="s">
        <v>86</v>
      </c>
      <c r="I22" t="s">
        <v>138</v>
      </c>
      <c r="J22" t="s">
        <v>4</v>
      </c>
    </row>
    <row r="23" spans="1:10" x14ac:dyDescent="0.2">
      <c r="A23" s="1">
        <v>20</v>
      </c>
      <c r="B23" t="s">
        <v>98</v>
      </c>
      <c r="C23" t="s">
        <v>99</v>
      </c>
      <c r="D23" t="s">
        <v>3</v>
      </c>
      <c r="E23" t="b">
        <v>1</v>
      </c>
      <c r="F23" t="b">
        <v>1</v>
      </c>
      <c r="G23" t="s">
        <v>170</v>
      </c>
      <c r="H23" t="s">
        <v>100</v>
      </c>
      <c r="I23" t="s">
        <v>138</v>
      </c>
      <c r="J23" t="s">
        <v>4</v>
      </c>
    </row>
    <row r="24" spans="1:10" x14ac:dyDescent="0.2">
      <c r="A24" s="1">
        <v>21</v>
      </c>
      <c r="B24" t="s">
        <v>101</v>
      </c>
      <c r="C24" t="s">
        <v>102</v>
      </c>
      <c r="D24" t="s">
        <v>3</v>
      </c>
      <c r="E24" t="b">
        <v>0</v>
      </c>
      <c r="F24" t="b">
        <v>1</v>
      </c>
      <c r="G24" t="s">
        <v>56</v>
      </c>
      <c r="H24" t="s">
        <v>103</v>
      </c>
      <c r="I24" t="s">
        <v>138</v>
      </c>
      <c r="J24" t="s">
        <v>66</v>
      </c>
    </row>
    <row r="25" spans="1:10" x14ac:dyDescent="0.2">
      <c r="A25" s="1">
        <v>22</v>
      </c>
      <c r="B25" t="s">
        <v>101</v>
      </c>
      <c r="C25" t="s">
        <v>102</v>
      </c>
      <c r="D25" t="s">
        <v>3</v>
      </c>
      <c r="E25" t="b">
        <v>0</v>
      </c>
      <c r="F25" t="b">
        <v>1</v>
      </c>
      <c r="G25" t="s">
        <v>56</v>
      </c>
      <c r="H25" t="s">
        <v>104</v>
      </c>
      <c r="I25" t="s">
        <v>138</v>
      </c>
      <c r="J25" t="s">
        <v>66</v>
      </c>
    </row>
    <row r="26" spans="1:10" x14ac:dyDescent="0.2">
      <c r="A26" s="1">
        <v>23</v>
      </c>
      <c r="B26" t="s">
        <v>105</v>
      </c>
      <c r="C26" t="s">
        <v>106</v>
      </c>
      <c r="D26" t="s">
        <v>76</v>
      </c>
      <c r="E26" t="b">
        <v>1</v>
      </c>
      <c r="F26" t="b">
        <v>0</v>
      </c>
      <c r="G26" t="s">
        <v>5</v>
      </c>
      <c r="H26" t="s">
        <v>202</v>
      </c>
      <c r="I26" t="s">
        <v>5</v>
      </c>
      <c r="J26" t="s">
        <v>62</v>
      </c>
    </row>
    <row r="27" spans="1:10" x14ac:dyDescent="0.2">
      <c r="A27" s="1">
        <v>24</v>
      </c>
      <c r="B27" t="s">
        <v>105</v>
      </c>
      <c r="C27" t="s">
        <v>107</v>
      </c>
      <c r="D27" t="s">
        <v>76</v>
      </c>
      <c r="E27" t="b">
        <v>0</v>
      </c>
      <c r="F27" t="b">
        <v>0</v>
      </c>
      <c r="G27" t="s">
        <v>373</v>
      </c>
      <c r="H27" t="s">
        <v>373</v>
      </c>
      <c r="I27" t="s">
        <v>139</v>
      </c>
      <c r="J27" t="s">
        <v>66</v>
      </c>
    </row>
    <row r="28" spans="1:10" x14ac:dyDescent="0.2">
      <c r="A28" s="1">
        <v>25</v>
      </c>
      <c r="B28" t="s">
        <v>105</v>
      </c>
      <c r="C28" t="s">
        <v>108</v>
      </c>
      <c r="D28" t="s">
        <v>76</v>
      </c>
      <c r="E28" t="b">
        <v>1</v>
      </c>
      <c r="F28" t="b">
        <v>1</v>
      </c>
      <c r="G28" t="s">
        <v>170</v>
      </c>
      <c r="H28" t="s">
        <v>85</v>
      </c>
      <c r="I28" t="s">
        <v>138</v>
      </c>
      <c r="J28" t="s">
        <v>4</v>
      </c>
    </row>
    <row r="29" spans="1:10" x14ac:dyDescent="0.2">
      <c r="A29" s="1">
        <v>26</v>
      </c>
      <c r="B29" t="s">
        <v>122</v>
      </c>
      <c r="C29" t="s">
        <v>123</v>
      </c>
      <c r="D29" t="s">
        <v>3</v>
      </c>
      <c r="E29" t="b">
        <v>1</v>
      </c>
      <c r="F29" t="b">
        <v>1</v>
      </c>
      <c r="G29" t="s">
        <v>316</v>
      </c>
      <c r="H29" t="s">
        <v>117</v>
      </c>
      <c r="I29" t="s">
        <v>138</v>
      </c>
      <c r="J29" t="s">
        <v>4</v>
      </c>
    </row>
    <row r="30" spans="1:10" x14ac:dyDescent="0.2">
      <c r="A30" s="1">
        <v>27</v>
      </c>
      <c r="B30" t="s">
        <v>122</v>
      </c>
      <c r="C30" t="s">
        <v>123</v>
      </c>
      <c r="D30" t="s">
        <v>3</v>
      </c>
      <c r="E30" t="b">
        <v>1</v>
      </c>
      <c r="F30" t="b">
        <v>1</v>
      </c>
      <c r="G30" t="s">
        <v>316</v>
      </c>
      <c r="H30" t="s">
        <v>118</v>
      </c>
      <c r="I30" t="s">
        <v>138</v>
      </c>
      <c r="J30" t="s">
        <v>4</v>
      </c>
    </row>
    <row r="31" spans="1:10" x14ac:dyDescent="0.2">
      <c r="A31" s="1">
        <v>28</v>
      </c>
      <c r="B31" t="s">
        <v>122</v>
      </c>
      <c r="C31" t="s">
        <v>123</v>
      </c>
      <c r="D31" t="s">
        <v>3</v>
      </c>
      <c r="E31" t="b">
        <v>1</v>
      </c>
      <c r="F31" t="b">
        <v>1</v>
      </c>
      <c r="G31" t="s">
        <v>316</v>
      </c>
      <c r="H31" t="s">
        <v>119</v>
      </c>
      <c r="I31" t="s">
        <v>138</v>
      </c>
      <c r="J31" t="s">
        <v>4</v>
      </c>
    </row>
    <row r="32" spans="1:10" x14ac:dyDescent="0.2">
      <c r="A32" s="1">
        <v>29</v>
      </c>
      <c r="B32" t="s">
        <v>122</v>
      </c>
      <c r="C32" t="s">
        <v>123</v>
      </c>
      <c r="D32" t="s">
        <v>3</v>
      </c>
      <c r="E32" t="b">
        <v>1</v>
      </c>
      <c r="F32" t="b">
        <v>1</v>
      </c>
      <c r="G32" t="s">
        <v>316</v>
      </c>
      <c r="H32" t="s">
        <v>120</v>
      </c>
      <c r="I32" t="s">
        <v>138</v>
      </c>
      <c r="J32" t="s">
        <v>4</v>
      </c>
    </row>
    <row r="33" spans="1:10" x14ac:dyDescent="0.2">
      <c r="A33" s="1">
        <v>30</v>
      </c>
      <c r="B33" t="s">
        <v>122</v>
      </c>
      <c r="C33" t="s">
        <v>123</v>
      </c>
      <c r="D33" t="s">
        <v>3</v>
      </c>
      <c r="E33" t="b">
        <v>1</v>
      </c>
      <c r="F33" t="b">
        <v>1</v>
      </c>
      <c r="G33" t="s">
        <v>316</v>
      </c>
      <c r="H33" t="s">
        <v>121</v>
      </c>
      <c r="I33" t="s">
        <v>138</v>
      </c>
      <c r="J33" t="s">
        <v>4</v>
      </c>
    </row>
    <row r="34" spans="1:10" x14ac:dyDescent="0.2">
      <c r="A34" s="1">
        <v>31</v>
      </c>
      <c r="B34" t="s">
        <v>124</v>
      </c>
      <c r="C34" t="s">
        <v>125</v>
      </c>
      <c r="D34" t="s">
        <v>3</v>
      </c>
      <c r="E34" t="b">
        <v>0</v>
      </c>
      <c r="F34" t="b">
        <v>1</v>
      </c>
      <c r="G34" t="s">
        <v>52</v>
      </c>
      <c r="H34" t="s">
        <v>52</v>
      </c>
      <c r="I34" t="s">
        <v>61</v>
      </c>
      <c r="J34" t="s">
        <v>66</v>
      </c>
    </row>
    <row r="35" spans="1:10" x14ac:dyDescent="0.2">
      <c r="A35" s="1">
        <v>32</v>
      </c>
      <c r="B35" t="s">
        <v>124</v>
      </c>
      <c r="C35" t="s">
        <v>125</v>
      </c>
      <c r="D35" t="s">
        <v>3</v>
      </c>
      <c r="E35" t="b">
        <v>0</v>
      </c>
      <c r="F35" t="b">
        <v>1</v>
      </c>
      <c r="G35" t="s">
        <v>136</v>
      </c>
      <c r="H35" t="s">
        <v>151</v>
      </c>
      <c r="I35" t="s">
        <v>61</v>
      </c>
      <c r="J35" t="s">
        <v>66</v>
      </c>
    </row>
    <row r="36" spans="1:10" x14ac:dyDescent="0.2">
      <c r="A36" s="1">
        <v>33</v>
      </c>
      <c r="B36" t="s">
        <v>124</v>
      </c>
      <c r="C36" t="s">
        <v>125</v>
      </c>
      <c r="D36" t="s">
        <v>3</v>
      </c>
      <c r="E36" t="b">
        <v>0</v>
      </c>
      <c r="F36" t="b">
        <v>1</v>
      </c>
      <c r="G36" t="s">
        <v>137</v>
      </c>
      <c r="H36" t="s">
        <v>137</v>
      </c>
      <c r="I36" t="s">
        <v>61</v>
      </c>
      <c r="J36" t="s">
        <v>66</v>
      </c>
    </row>
    <row r="37" spans="1:10" x14ac:dyDescent="0.2">
      <c r="A37" s="1">
        <v>34</v>
      </c>
      <c r="B37" t="s">
        <v>124</v>
      </c>
      <c r="C37" t="s">
        <v>125</v>
      </c>
      <c r="D37" t="s">
        <v>3</v>
      </c>
      <c r="E37" t="b">
        <v>0</v>
      </c>
      <c r="F37" t="b">
        <v>1</v>
      </c>
      <c r="G37" t="s">
        <v>372</v>
      </c>
      <c r="H37" t="s">
        <v>140</v>
      </c>
      <c r="I37" t="s">
        <v>61</v>
      </c>
      <c r="J37" t="s">
        <v>66</v>
      </c>
    </row>
    <row r="38" spans="1:10" x14ac:dyDescent="0.2">
      <c r="A38" s="1">
        <v>35</v>
      </c>
      <c r="B38" t="s">
        <v>127</v>
      </c>
      <c r="C38" t="s">
        <v>128</v>
      </c>
      <c r="D38" t="s">
        <v>3</v>
      </c>
      <c r="E38" t="b">
        <v>0</v>
      </c>
      <c r="F38" t="b">
        <v>0</v>
      </c>
      <c r="G38" t="s">
        <v>384</v>
      </c>
      <c r="H38" t="s">
        <v>126</v>
      </c>
      <c r="I38" t="s">
        <v>141</v>
      </c>
      <c r="J38" t="s">
        <v>62</v>
      </c>
    </row>
    <row r="39" spans="1:10" x14ac:dyDescent="0.2">
      <c r="A39" s="1">
        <v>36</v>
      </c>
      <c r="B39" t="s">
        <v>127</v>
      </c>
      <c r="C39" t="s">
        <v>128</v>
      </c>
      <c r="D39" t="s">
        <v>3</v>
      </c>
      <c r="E39" t="b">
        <v>1</v>
      </c>
      <c r="F39" t="b">
        <v>1</v>
      </c>
      <c r="G39" t="s">
        <v>316</v>
      </c>
      <c r="H39" t="s">
        <v>117</v>
      </c>
      <c r="I39" t="s">
        <v>138</v>
      </c>
      <c r="J39" t="s">
        <v>4</v>
      </c>
    </row>
    <row r="40" spans="1:10" x14ac:dyDescent="0.2">
      <c r="A40" s="1">
        <v>37</v>
      </c>
      <c r="B40" t="s">
        <v>127</v>
      </c>
      <c r="C40" t="s">
        <v>128</v>
      </c>
      <c r="D40" t="s">
        <v>3</v>
      </c>
      <c r="E40" t="b">
        <v>1</v>
      </c>
      <c r="F40" t="b">
        <v>1</v>
      </c>
      <c r="G40" t="s">
        <v>316</v>
      </c>
      <c r="H40" t="s">
        <v>129</v>
      </c>
      <c r="I40" t="s">
        <v>138</v>
      </c>
      <c r="J40" t="s">
        <v>4</v>
      </c>
    </row>
    <row r="41" spans="1:10" x14ac:dyDescent="0.2">
      <c r="A41" s="1">
        <v>38</v>
      </c>
      <c r="B41" t="s">
        <v>130</v>
      </c>
      <c r="C41" t="s">
        <v>131</v>
      </c>
      <c r="D41" t="s">
        <v>3</v>
      </c>
      <c r="E41" t="b">
        <v>1</v>
      </c>
      <c r="F41" t="b">
        <v>1</v>
      </c>
      <c r="G41" t="s">
        <v>316</v>
      </c>
      <c r="H41" t="s">
        <v>129</v>
      </c>
      <c r="I41" t="s">
        <v>138</v>
      </c>
      <c r="J41" t="s">
        <v>4</v>
      </c>
    </row>
    <row r="42" spans="1:10" x14ac:dyDescent="0.2">
      <c r="A42" s="1">
        <v>39</v>
      </c>
      <c r="B42" t="s">
        <v>132</v>
      </c>
      <c r="C42" t="s">
        <v>133</v>
      </c>
      <c r="D42" t="s">
        <v>3</v>
      </c>
      <c r="E42" t="b">
        <v>0</v>
      </c>
      <c r="F42" t="b">
        <v>1</v>
      </c>
      <c r="G42" t="s">
        <v>52</v>
      </c>
      <c r="H42" t="s">
        <v>52</v>
      </c>
      <c r="I42" t="s">
        <v>61</v>
      </c>
      <c r="J42" t="s">
        <v>66</v>
      </c>
    </row>
    <row r="43" spans="1:10" x14ac:dyDescent="0.2">
      <c r="A43" s="1">
        <v>40</v>
      </c>
      <c r="B43" t="s">
        <v>132</v>
      </c>
      <c r="C43" t="s">
        <v>133</v>
      </c>
      <c r="D43" t="s">
        <v>3</v>
      </c>
      <c r="E43" t="b">
        <v>0</v>
      </c>
      <c r="F43" t="b">
        <v>1</v>
      </c>
      <c r="G43" t="s">
        <v>136</v>
      </c>
      <c r="H43" t="s">
        <v>151</v>
      </c>
      <c r="I43" t="s">
        <v>61</v>
      </c>
      <c r="J43" t="s">
        <v>66</v>
      </c>
    </row>
    <row r="44" spans="1:10" x14ac:dyDescent="0.2">
      <c r="A44" s="1">
        <v>41</v>
      </c>
      <c r="B44" t="s">
        <v>132</v>
      </c>
      <c r="C44" t="s">
        <v>133</v>
      </c>
      <c r="D44" t="s">
        <v>3</v>
      </c>
      <c r="E44" t="b">
        <v>0</v>
      </c>
      <c r="F44" t="b">
        <v>1</v>
      </c>
      <c r="G44" t="s">
        <v>137</v>
      </c>
      <c r="H44" t="s">
        <v>137</v>
      </c>
      <c r="I44" t="s">
        <v>61</v>
      </c>
      <c r="J44" t="s">
        <v>66</v>
      </c>
    </row>
    <row r="45" spans="1:10" x14ac:dyDescent="0.2">
      <c r="A45" s="1">
        <v>42</v>
      </c>
      <c r="B45" t="s">
        <v>132</v>
      </c>
      <c r="C45" t="s">
        <v>133</v>
      </c>
      <c r="D45" t="s">
        <v>3</v>
      </c>
      <c r="E45" t="b">
        <v>0</v>
      </c>
      <c r="F45" t="b">
        <v>1</v>
      </c>
      <c r="G45" t="s">
        <v>372</v>
      </c>
      <c r="H45" t="s">
        <v>140</v>
      </c>
      <c r="I45" t="s">
        <v>61</v>
      </c>
      <c r="J45" t="s">
        <v>66</v>
      </c>
    </row>
    <row r="46" spans="1:10" x14ac:dyDescent="0.2">
      <c r="A46" s="1">
        <v>43</v>
      </c>
      <c r="B46" t="s">
        <v>143</v>
      </c>
      <c r="C46" t="s">
        <v>9</v>
      </c>
      <c r="D46" t="s">
        <v>76</v>
      </c>
      <c r="E46" t="b">
        <v>0</v>
      </c>
      <c r="F46" t="b">
        <v>1</v>
      </c>
      <c r="G46" t="s">
        <v>52</v>
      </c>
      <c r="H46" t="s">
        <v>52</v>
      </c>
      <c r="I46" t="s">
        <v>135</v>
      </c>
      <c r="J46" t="s">
        <v>66</v>
      </c>
    </row>
    <row r="47" spans="1:10" x14ac:dyDescent="0.2">
      <c r="A47" s="1">
        <v>44</v>
      </c>
      <c r="B47" t="s">
        <v>143</v>
      </c>
      <c r="C47" t="s">
        <v>9</v>
      </c>
      <c r="D47" t="s">
        <v>76</v>
      </c>
      <c r="E47" t="b">
        <v>0</v>
      </c>
      <c r="F47" t="b">
        <v>1</v>
      </c>
      <c r="G47" t="s">
        <v>136</v>
      </c>
      <c r="H47" t="s">
        <v>151</v>
      </c>
      <c r="I47" t="s">
        <v>135</v>
      </c>
      <c r="J47" t="s">
        <v>66</v>
      </c>
    </row>
    <row r="48" spans="1:10" x14ac:dyDescent="0.2">
      <c r="A48" s="1">
        <v>45</v>
      </c>
      <c r="B48" t="s">
        <v>143</v>
      </c>
      <c r="C48" t="s">
        <v>9</v>
      </c>
      <c r="D48" t="s">
        <v>76</v>
      </c>
      <c r="E48" t="b">
        <v>0</v>
      </c>
      <c r="F48" t="b">
        <v>1</v>
      </c>
      <c r="G48" t="s">
        <v>372</v>
      </c>
      <c r="H48" t="s">
        <v>140</v>
      </c>
      <c r="I48" t="s">
        <v>135</v>
      </c>
      <c r="J48" t="s">
        <v>66</v>
      </c>
    </row>
    <row r="49" spans="1:10" x14ac:dyDescent="0.2">
      <c r="A49" s="1">
        <v>46</v>
      </c>
      <c r="B49" t="s">
        <v>143</v>
      </c>
      <c r="C49" t="s">
        <v>9</v>
      </c>
      <c r="D49" t="s">
        <v>76</v>
      </c>
      <c r="E49" t="b">
        <v>0</v>
      </c>
      <c r="F49" t="b">
        <v>1</v>
      </c>
      <c r="G49" t="s">
        <v>8</v>
      </c>
      <c r="H49" t="s">
        <v>8</v>
      </c>
      <c r="I49" t="s">
        <v>135</v>
      </c>
      <c r="J49" t="s">
        <v>66</v>
      </c>
    </row>
    <row r="50" spans="1:10" x14ac:dyDescent="0.2">
      <c r="A50" s="1">
        <v>47</v>
      </c>
      <c r="B50" t="s">
        <v>143</v>
      </c>
      <c r="C50" t="s">
        <v>9</v>
      </c>
      <c r="D50" t="s">
        <v>76</v>
      </c>
      <c r="E50" t="b">
        <v>0</v>
      </c>
      <c r="F50" t="b">
        <v>1</v>
      </c>
      <c r="G50" t="s">
        <v>142</v>
      </c>
      <c r="H50" t="s">
        <v>142</v>
      </c>
      <c r="I50" t="s">
        <v>135</v>
      </c>
      <c r="J50" t="s">
        <v>66</v>
      </c>
    </row>
    <row r="51" spans="1:10" x14ac:dyDescent="0.2">
      <c r="A51" s="1">
        <v>48</v>
      </c>
      <c r="B51" t="s">
        <v>143</v>
      </c>
      <c r="C51" t="s">
        <v>9</v>
      </c>
      <c r="D51" t="s">
        <v>76</v>
      </c>
      <c r="E51" t="b">
        <v>0</v>
      </c>
      <c r="F51" t="b">
        <v>1</v>
      </c>
      <c r="G51" t="s">
        <v>56</v>
      </c>
      <c r="H51" t="s">
        <v>67</v>
      </c>
      <c r="I51" t="s">
        <v>135</v>
      </c>
      <c r="J51" t="s">
        <v>66</v>
      </c>
    </row>
    <row r="52" spans="1:10" x14ac:dyDescent="0.2">
      <c r="A52" s="1">
        <v>49</v>
      </c>
      <c r="B52" t="s">
        <v>145</v>
      </c>
      <c r="C52" t="s">
        <v>146</v>
      </c>
      <c r="D52" t="s">
        <v>3</v>
      </c>
      <c r="E52" t="b">
        <v>1</v>
      </c>
      <c r="F52" t="b">
        <v>1</v>
      </c>
      <c r="G52" t="s">
        <v>170</v>
      </c>
      <c r="H52" t="s">
        <v>85</v>
      </c>
      <c r="I52" t="s">
        <v>138</v>
      </c>
      <c r="J52" t="s">
        <v>4</v>
      </c>
    </row>
    <row r="53" spans="1:10" x14ac:dyDescent="0.2">
      <c r="A53" s="1">
        <v>50</v>
      </c>
      <c r="B53" t="s">
        <v>145</v>
      </c>
      <c r="C53" t="s">
        <v>146</v>
      </c>
      <c r="D53" t="s">
        <v>3</v>
      </c>
      <c r="E53" t="b">
        <v>1</v>
      </c>
      <c r="F53" t="b">
        <v>1</v>
      </c>
      <c r="G53" t="s">
        <v>170</v>
      </c>
      <c r="H53" t="s">
        <v>100</v>
      </c>
      <c r="I53" t="s">
        <v>138</v>
      </c>
      <c r="J53" t="s">
        <v>4</v>
      </c>
    </row>
    <row r="54" spans="1:10" x14ac:dyDescent="0.2">
      <c r="A54" s="1">
        <v>51</v>
      </c>
      <c r="B54" t="s">
        <v>145</v>
      </c>
      <c r="C54" t="s">
        <v>146</v>
      </c>
      <c r="D54" t="s">
        <v>3</v>
      </c>
      <c r="E54" t="b">
        <v>1</v>
      </c>
      <c r="F54" t="b">
        <v>1</v>
      </c>
      <c r="G54" t="s">
        <v>170</v>
      </c>
      <c r="H54" t="s">
        <v>86</v>
      </c>
      <c r="I54" t="s">
        <v>138</v>
      </c>
      <c r="J54" t="s">
        <v>4</v>
      </c>
    </row>
    <row r="55" spans="1:10" x14ac:dyDescent="0.2">
      <c r="A55" s="1">
        <v>52</v>
      </c>
      <c r="B55" t="s">
        <v>145</v>
      </c>
      <c r="C55" t="s">
        <v>146</v>
      </c>
      <c r="D55" t="s">
        <v>3</v>
      </c>
      <c r="E55" t="b">
        <v>1</v>
      </c>
      <c r="F55" t="b">
        <v>1</v>
      </c>
      <c r="G55" t="s">
        <v>170</v>
      </c>
      <c r="H55" t="s">
        <v>87</v>
      </c>
      <c r="I55" t="s">
        <v>138</v>
      </c>
      <c r="J55" t="s">
        <v>4</v>
      </c>
    </row>
    <row r="56" spans="1:10" x14ac:dyDescent="0.2">
      <c r="A56" s="1">
        <v>53</v>
      </c>
      <c r="B56" t="s">
        <v>145</v>
      </c>
      <c r="C56" t="s">
        <v>146</v>
      </c>
      <c r="D56" t="s">
        <v>3</v>
      </c>
      <c r="E56" t="b">
        <v>0</v>
      </c>
      <c r="F56" t="b">
        <v>0</v>
      </c>
      <c r="G56" t="s">
        <v>144</v>
      </c>
      <c r="H56" t="s">
        <v>144</v>
      </c>
      <c r="I56" t="s">
        <v>138</v>
      </c>
      <c r="J56" t="s">
        <v>11</v>
      </c>
    </row>
    <row r="57" spans="1:10" x14ac:dyDescent="0.2">
      <c r="A57" s="1">
        <v>54</v>
      </c>
      <c r="B57" t="s">
        <v>148</v>
      </c>
      <c r="C57" t="s">
        <v>6</v>
      </c>
      <c r="D57" t="s">
        <v>76</v>
      </c>
      <c r="E57" t="b">
        <v>0</v>
      </c>
      <c r="F57" t="b">
        <v>1</v>
      </c>
      <c r="G57" t="s">
        <v>52</v>
      </c>
      <c r="H57" t="s">
        <v>52</v>
      </c>
      <c r="I57" t="s">
        <v>50</v>
      </c>
      <c r="J57" t="s">
        <v>66</v>
      </c>
    </row>
    <row r="58" spans="1:10" x14ac:dyDescent="0.2">
      <c r="A58" s="1">
        <v>55</v>
      </c>
      <c r="B58" t="s">
        <v>148</v>
      </c>
      <c r="C58" t="s">
        <v>6</v>
      </c>
      <c r="D58" t="s">
        <v>76</v>
      </c>
      <c r="E58" t="b">
        <v>0</v>
      </c>
      <c r="F58" t="b">
        <v>1</v>
      </c>
      <c r="G58" t="s">
        <v>1</v>
      </c>
      <c r="H58" t="s">
        <v>1</v>
      </c>
      <c r="I58" t="s">
        <v>138</v>
      </c>
      <c r="J58" t="s">
        <v>66</v>
      </c>
    </row>
    <row r="59" spans="1:10" x14ac:dyDescent="0.2">
      <c r="A59" s="1">
        <v>56</v>
      </c>
      <c r="B59" t="s">
        <v>148</v>
      </c>
      <c r="C59" t="s">
        <v>6</v>
      </c>
      <c r="D59" t="s">
        <v>76</v>
      </c>
      <c r="E59" t="b">
        <v>0</v>
      </c>
      <c r="F59" t="b">
        <v>1</v>
      </c>
      <c r="G59" t="s">
        <v>2</v>
      </c>
      <c r="H59" t="s">
        <v>2</v>
      </c>
      <c r="I59" t="s">
        <v>138</v>
      </c>
      <c r="J59" t="s">
        <v>66</v>
      </c>
    </row>
    <row r="60" spans="1:10" x14ac:dyDescent="0.2">
      <c r="A60" s="1">
        <v>57</v>
      </c>
      <c r="B60" t="s">
        <v>148</v>
      </c>
      <c r="C60" t="s">
        <v>6</v>
      </c>
      <c r="D60" t="s">
        <v>76</v>
      </c>
      <c r="E60" t="b">
        <v>0</v>
      </c>
      <c r="F60" t="b">
        <v>1</v>
      </c>
      <c r="G60" t="s">
        <v>65</v>
      </c>
      <c r="H60" t="s">
        <v>65</v>
      </c>
      <c r="I60" t="s">
        <v>138</v>
      </c>
      <c r="J60" t="s">
        <v>66</v>
      </c>
    </row>
    <row r="61" spans="1:10" x14ac:dyDescent="0.2">
      <c r="A61" s="1">
        <v>58</v>
      </c>
      <c r="B61" t="s">
        <v>148</v>
      </c>
      <c r="C61" t="s">
        <v>6</v>
      </c>
      <c r="D61" t="s">
        <v>76</v>
      </c>
      <c r="E61" t="b">
        <v>0</v>
      </c>
      <c r="F61" t="b">
        <v>1</v>
      </c>
      <c r="G61" t="s">
        <v>147</v>
      </c>
      <c r="H61" t="s">
        <v>147</v>
      </c>
      <c r="I61" t="s">
        <v>138</v>
      </c>
      <c r="J61" t="s">
        <v>66</v>
      </c>
    </row>
    <row r="62" spans="1:10" x14ac:dyDescent="0.2">
      <c r="A62" s="1">
        <v>59</v>
      </c>
      <c r="B62" t="s">
        <v>148</v>
      </c>
      <c r="C62" t="s">
        <v>6</v>
      </c>
      <c r="D62" t="s">
        <v>76</v>
      </c>
      <c r="E62" t="b">
        <v>0</v>
      </c>
      <c r="F62" t="b">
        <v>1</v>
      </c>
      <c r="G62" t="s">
        <v>374</v>
      </c>
      <c r="H62" t="s">
        <v>374</v>
      </c>
      <c r="I62" t="s">
        <v>138</v>
      </c>
      <c r="J62" t="s">
        <v>66</v>
      </c>
    </row>
    <row r="63" spans="1:10" x14ac:dyDescent="0.2">
      <c r="A63" s="1">
        <v>60</v>
      </c>
      <c r="B63" t="s">
        <v>148</v>
      </c>
      <c r="C63" t="s">
        <v>6</v>
      </c>
      <c r="D63" t="s">
        <v>76</v>
      </c>
      <c r="E63" t="b">
        <v>1</v>
      </c>
      <c r="F63" t="b">
        <v>1</v>
      </c>
      <c r="G63" t="s">
        <v>170</v>
      </c>
      <c r="H63" t="s">
        <v>86</v>
      </c>
      <c r="I63" t="s">
        <v>138</v>
      </c>
      <c r="J63" t="s">
        <v>4</v>
      </c>
    </row>
    <row r="64" spans="1:10" x14ac:dyDescent="0.2">
      <c r="A64" s="1">
        <v>61</v>
      </c>
      <c r="B64" t="s">
        <v>148</v>
      </c>
      <c r="C64" t="s">
        <v>6</v>
      </c>
      <c r="D64" t="s">
        <v>76</v>
      </c>
      <c r="E64" t="b">
        <v>1</v>
      </c>
      <c r="F64" t="b">
        <v>1</v>
      </c>
      <c r="G64" t="s">
        <v>170</v>
      </c>
      <c r="H64" t="s">
        <v>85</v>
      </c>
      <c r="I64" t="s">
        <v>138</v>
      </c>
      <c r="J64" t="s">
        <v>4</v>
      </c>
    </row>
    <row r="65" spans="1:10" x14ac:dyDescent="0.2">
      <c r="A65" s="1">
        <v>62</v>
      </c>
      <c r="B65" t="s">
        <v>149</v>
      </c>
      <c r="C65" t="s">
        <v>10</v>
      </c>
      <c r="D65" t="s">
        <v>76</v>
      </c>
      <c r="E65" t="b">
        <v>0</v>
      </c>
      <c r="F65" t="b">
        <v>1</v>
      </c>
      <c r="G65" t="s">
        <v>7</v>
      </c>
      <c r="H65" t="s">
        <v>7</v>
      </c>
      <c r="I65" t="s">
        <v>138</v>
      </c>
      <c r="J65" t="s">
        <v>66</v>
      </c>
    </row>
    <row r="66" spans="1:10" x14ac:dyDescent="0.2">
      <c r="A66" s="1">
        <v>63</v>
      </c>
      <c r="B66" t="s">
        <v>149</v>
      </c>
      <c r="C66" t="s">
        <v>10</v>
      </c>
      <c r="D66" t="s">
        <v>76</v>
      </c>
      <c r="E66" t="b">
        <v>0</v>
      </c>
      <c r="F66" t="b">
        <v>1</v>
      </c>
      <c r="G66" t="s">
        <v>154</v>
      </c>
      <c r="H66" t="s">
        <v>150</v>
      </c>
      <c r="I66" t="s">
        <v>138</v>
      </c>
      <c r="J66" t="s">
        <v>62</v>
      </c>
    </row>
    <row r="67" spans="1:10" x14ac:dyDescent="0.2">
      <c r="A67" s="1">
        <v>64</v>
      </c>
      <c r="B67" t="s">
        <v>149</v>
      </c>
      <c r="C67" t="s">
        <v>10</v>
      </c>
      <c r="D67" t="s">
        <v>76</v>
      </c>
      <c r="E67" t="b">
        <v>0</v>
      </c>
      <c r="F67" t="b">
        <v>1</v>
      </c>
      <c r="G67" t="s">
        <v>136</v>
      </c>
      <c r="H67" t="s">
        <v>151</v>
      </c>
      <c r="I67" t="s">
        <v>138</v>
      </c>
      <c r="J67" t="s">
        <v>66</v>
      </c>
    </row>
    <row r="68" spans="1:10" x14ac:dyDescent="0.2">
      <c r="A68" s="1">
        <v>65</v>
      </c>
      <c r="B68" t="s">
        <v>149</v>
      </c>
      <c r="C68" t="s">
        <v>10</v>
      </c>
      <c r="D68" t="s">
        <v>76</v>
      </c>
      <c r="E68" t="b">
        <v>0</v>
      </c>
      <c r="F68" t="b">
        <v>1</v>
      </c>
      <c r="G68" t="s">
        <v>57</v>
      </c>
      <c r="H68" t="s">
        <v>57</v>
      </c>
      <c r="I68" t="s">
        <v>138</v>
      </c>
      <c r="J68" t="s">
        <v>62</v>
      </c>
    </row>
    <row r="69" spans="1:10" x14ac:dyDescent="0.2">
      <c r="A69" s="1">
        <v>66</v>
      </c>
      <c r="B69" t="s">
        <v>149</v>
      </c>
      <c r="C69" t="s">
        <v>10</v>
      </c>
      <c r="D69" t="s">
        <v>76</v>
      </c>
      <c r="E69" t="b">
        <v>0</v>
      </c>
      <c r="F69" t="b">
        <v>1</v>
      </c>
      <c r="G69" t="s">
        <v>65</v>
      </c>
      <c r="H69" t="s">
        <v>65</v>
      </c>
      <c r="I69" t="s">
        <v>138</v>
      </c>
      <c r="J69" t="s">
        <v>66</v>
      </c>
    </row>
    <row r="70" spans="1:10" x14ac:dyDescent="0.2">
      <c r="A70" s="1">
        <v>67</v>
      </c>
      <c r="B70" t="s">
        <v>149</v>
      </c>
      <c r="C70" t="s">
        <v>10</v>
      </c>
      <c r="D70" t="s">
        <v>76</v>
      </c>
      <c r="E70" t="b">
        <v>1</v>
      </c>
      <c r="F70" t="b">
        <v>1</v>
      </c>
      <c r="G70" t="s">
        <v>152</v>
      </c>
      <c r="H70" t="s">
        <v>152</v>
      </c>
      <c r="I70" t="s">
        <v>155</v>
      </c>
      <c r="J70" t="s">
        <v>62</v>
      </c>
    </row>
    <row r="71" spans="1:10" x14ac:dyDescent="0.2">
      <c r="A71" s="1">
        <v>68</v>
      </c>
      <c r="B71" t="s">
        <v>149</v>
      </c>
      <c r="C71" t="s">
        <v>10</v>
      </c>
      <c r="D71" t="s">
        <v>76</v>
      </c>
      <c r="E71" t="b">
        <v>0</v>
      </c>
      <c r="F71" t="b">
        <v>1</v>
      </c>
      <c r="G71" t="s">
        <v>52</v>
      </c>
      <c r="H71" t="s">
        <v>153</v>
      </c>
      <c r="I71" t="s">
        <v>155</v>
      </c>
      <c r="J71" t="s">
        <v>66</v>
      </c>
    </row>
    <row r="72" spans="1:10" x14ac:dyDescent="0.2">
      <c r="A72" s="1">
        <v>69</v>
      </c>
      <c r="B72" t="s">
        <v>149</v>
      </c>
      <c r="C72" t="s">
        <v>10</v>
      </c>
      <c r="D72" t="s">
        <v>76</v>
      </c>
      <c r="E72" t="b">
        <v>0</v>
      </c>
      <c r="F72" t="b">
        <v>1</v>
      </c>
      <c r="G72" t="s">
        <v>154</v>
      </c>
      <c r="H72" t="s">
        <v>154</v>
      </c>
      <c r="I72" t="s">
        <v>155</v>
      </c>
      <c r="J72" t="s">
        <v>62</v>
      </c>
    </row>
    <row r="73" spans="1:10" x14ac:dyDescent="0.2">
      <c r="A73" s="1">
        <v>70</v>
      </c>
      <c r="B73" t="s">
        <v>149</v>
      </c>
      <c r="C73" t="s">
        <v>10</v>
      </c>
      <c r="D73" t="s">
        <v>76</v>
      </c>
      <c r="E73" t="b">
        <v>0</v>
      </c>
      <c r="F73" t="b">
        <v>1</v>
      </c>
      <c r="G73" t="s">
        <v>56</v>
      </c>
      <c r="H73" t="s">
        <v>67</v>
      </c>
      <c r="I73" t="s">
        <v>155</v>
      </c>
      <c r="J73" t="s">
        <v>66</v>
      </c>
    </row>
    <row r="74" spans="1:10" x14ac:dyDescent="0.2">
      <c r="A74" s="1">
        <v>71</v>
      </c>
      <c r="B74" t="s">
        <v>162</v>
      </c>
      <c r="C74" t="s">
        <v>161</v>
      </c>
      <c r="D74" t="s">
        <v>76</v>
      </c>
      <c r="E74" t="b">
        <v>0</v>
      </c>
      <c r="F74" t="b">
        <v>1</v>
      </c>
      <c r="G74" t="s">
        <v>372</v>
      </c>
      <c r="H74" t="s">
        <v>140</v>
      </c>
      <c r="I74" t="s">
        <v>156</v>
      </c>
      <c r="J74" t="s">
        <v>66</v>
      </c>
    </row>
    <row r="75" spans="1:10" x14ac:dyDescent="0.2">
      <c r="A75" s="1">
        <v>72</v>
      </c>
      <c r="B75" t="s">
        <v>162</v>
      </c>
      <c r="C75" t="s">
        <v>161</v>
      </c>
      <c r="D75" t="s">
        <v>76</v>
      </c>
      <c r="E75" t="b">
        <v>0</v>
      </c>
      <c r="F75" t="b">
        <v>1</v>
      </c>
      <c r="G75" t="s">
        <v>52</v>
      </c>
      <c r="H75" t="s">
        <v>52</v>
      </c>
      <c r="I75" t="s">
        <v>156</v>
      </c>
      <c r="J75" t="s">
        <v>66</v>
      </c>
    </row>
    <row r="76" spans="1:10" x14ac:dyDescent="0.2">
      <c r="A76" s="1">
        <v>73</v>
      </c>
      <c r="B76" t="s">
        <v>162</v>
      </c>
      <c r="C76" t="s">
        <v>161</v>
      </c>
      <c r="D76" t="s">
        <v>76</v>
      </c>
      <c r="E76" t="b">
        <v>0</v>
      </c>
      <c r="F76" t="b">
        <v>1</v>
      </c>
      <c r="G76" t="s">
        <v>56</v>
      </c>
      <c r="H76" t="s">
        <v>157</v>
      </c>
      <c r="I76" t="s">
        <v>156</v>
      </c>
      <c r="J76" t="s">
        <v>66</v>
      </c>
    </row>
    <row r="77" spans="1:10" x14ac:dyDescent="0.2">
      <c r="A77" s="1">
        <v>74</v>
      </c>
      <c r="B77" t="s">
        <v>162</v>
      </c>
      <c r="C77" t="s">
        <v>161</v>
      </c>
      <c r="D77" t="s">
        <v>76</v>
      </c>
      <c r="E77" t="b">
        <v>0</v>
      </c>
      <c r="F77" t="b">
        <v>1</v>
      </c>
      <c r="G77" t="s">
        <v>154</v>
      </c>
      <c r="H77" t="s">
        <v>154</v>
      </c>
      <c r="I77" t="s">
        <v>156</v>
      </c>
      <c r="J77" t="s">
        <v>62</v>
      </c>
    </row>
    <row r="78" spans="1:10" x14ac:dyDescent="0.2">
      <c r="A78" s="1">
        <v>75</v>
      </c>
      <c r="B78" t="s">
        <v>162</v>
      </c>
      <c r="C78" t="s">
        <v>161</v>
      </c>
      <c r="D78" t="s">
        <v>76</v>
      </c>
      <c r="E78" t="b">
        <v>0</v>
      </c>
      <c r="F78" t="b">
        <v>1</v>
      </c>
      <c r="G78" t="s">
        <v>56</v>
      </c>
      <c r="H78" t="s">
        <v>67</v>
      </c>
      <c r="I78" t="s">
        <v>156</v>
      </c>
      <c r="J78" t="s">
        <v>66</v>
      </c>
    </row>
    <row r="79" spans="1:10" x14ac:dyDescent="0.2">
      <c r="A79" s="1">
        <v>76</v>
      </c>
      <c r="B79" t="s">
        <v>162</v>
      </c>
      <c r="C79" t="s">
        <v>161</v>
      </c>
      <c r="D79" t="s">
        <v>76</v>
      </c>
      <c r="E79" t="b">
        <v>0</v>
      </c>
      <c r="F79" t="b">
        <v>1</v>
      </c>
      <c r="G79" t="s">
        <v>56</v>
      </c>
      <c r="H79" t="s">
        <v>104</v>
      </c>
      <c r="I79" t="s">
        <v>156</v>
      </c>
      <c r="J79" t="s">
        <v>66</v>
      </c>
    </row>
    <row r="80" spans="1:10" x14ac:dyDescent="0.2">
      <c r="A80" s="1">
        <v>77</v>
      </c>
      <c r="B80" t="s">
        <v>162</v>
      </c>
      <c r="C80" t="s">
        <v>161</v>
      </c>
      <c r="D80" t="s">
        <v>76</v>
      </c>
      <c r="E80" t="b">
        <v>0</v>
      </c>
      <c r="F80" t="b">
        <v>1</v>
      </c>
      <c r="G80" t="s">
        <v>136</v>
      </c>
      <c r="H80" t="s">
        <v>151</v>
      </c>
      <c r="I80" t="s">
        <v>156</v>
      </c>
      <c r="J80" t="s">
        <v>66</v>
      </c>
    </row>
    <row r="81" spans="1:11" x14ac:dyDescent="0.2">
      <c r="A81" s="1">
        <v>78</v>
      </c>
      <c r="B81" t="s">
        <v>162</v>
      </c>
      <c r="C81" t="s">
        <v>161</v>
      </c>
      <c r="D81" t="s">
        <v>76</v>
      </c>
      <c r="E81" t="b">
        <v>0</v>
      </c>
      <c r="F81" t="b">
        <v>1</v>
      </c>
      <c r="G81" t="s">
        <v>8</v>
      </c>
      <c r="H81" t="s">
        <v>8</v>
      </c>
      <c r="I81" t="s">
        <v>156</v>
      </c>
      <c r="J81" t="s">
        <v>66</v>
      </c>
    </row>
    <row r="82" spans="1:11" x14ac:dyDescent="0.2">
      <c r="A82" s="1">
        <v>79</v>
      </c>
      <c r="B82" t="s">
        <v>162</v>
      </c>
      <c r="C82" t="s">
        <v>161</v>
      </c>
      <c r="D82" t="s">
        <v>76</v>
      </c>
      <c r="E82" t="b">
        <v>1</v>
      </c>
      <c r="F82" t="b">
        <v>1</v>
      </c>
      <c r="G82" t="s">
        <v>170</v>
      </c>
      <c r="H82" t="s">
        <v>84</v>
      </c>
      <c r="I82" t="s">
        <v>138</v>
      </c>
      <c r="J82" t="s">
        <v>4</v>
      </c>
    </row>
    <row r="83" spans="1:11" x14ac:dyDescent="0.2">
      <c r="A83" s="1">
        <v>80</v>
      </c>
      <c r="B83" t="s">
        <v>162</v>
      </c>
      <c r="C83" t="s">
        <v>161</v>
      </c>
      <c r="D83" t="s">
        <v>76</v>
      </c>
      <c r="E83" t="b">
        <v>1</v>
      </c>
      <c r="F83" t="b">
        <v>0</v>
      </c>
      <c r="G83" t="s">
        <v>55</v>
      </c>
      <c r="H83" t="s">
        <v>158</v>
      </c>
      <c r="I83" t="s">
        <v>138</v>
      </c>
      <c r="J83" t="s">
        <v>62</v>
      </c>
    </row>
    <row r="84" spans="1:11" x14ac:dyDescent="0.2">
      <c r="A84" s="1">
        <v>81</v>
      </c>
      <c r="B84" t="s">
        <v>162</v>
      </c>
      <c r="C84" t="s">
        <v>161</v>
      </c>
      <c r="D84" t="s">
        <v>76</v>
      </c>
      <c r="E84" t="b">
        <v>1</v>
      </c>
      <c r="F84" t="b">
        <v>0</v>
      </c>
      <c r="G84" t="s">
        <v>377</v>
      </c>
      <c r="H84" t="s">
        <v>159</v>
      </c>
      <c r="I84" t="s">
        <v>138</v>
      </c>
      <c r="J84" t="s">
        <v>62</v>
      </c>
    </row>
    <row r="85" spans="1:11" x14ac:dyDescent="0.2">
      <c r="A85" s="1">
        <v>82</v>
      </c>
      <c r="B85" t="s">
        <v>162</v>
      </c>
      <c r="C85" t="s">
        <v>161</v>
      </c>
      <c r="D85" t="s">
        <v>76</v>
      </c>
      <c r="E85" t="b">
        <v>1</v>
      </c>
      <c r="F85" t="b">
        <v>0</v>
      </c>
      <c r="G85" t="s">
        <v>376</v>
      </c>
      <c r="H85" t="s">
        <v>160</v>
      </c>
      <c r="I85" t="s">
        <v>138</v>
      </c>
      <c r="J85" t="s">
        <v>62</v>
      </c>
    </row>
    <row r="86" spans="1:11" x14ac:dyDescent="0.2">
      <c r="A86" s="1">
        <v>83</v>
      </c>
      <c r="B86" t="s">
        <v>162</v>
      </c>
      <c r="C86" t="s">
        <v>161</v>
      </c>
      <c r="D86" t="s">
        <v>76</v>
      </c>
      <c r="E86" t="b">
        <v>0</v>
      </c>
      <c r="F86" t="b">
        <v>0</v>
      </c>
      <c r="G86" t="s">
        <v>417</v>
      </c>
      <c r="H86" t="s">
        <v>163</v>
      </c>
      <c r="I86" t="s">
        <v>138</v>
      </c>
      <c r="J86" t="s">
        <v>11</v>
      </c>
    </row>
    <row r="87" spans="1:11" x14ac:dyDescent="0.2">
      <c r="A87" s="1">
        <v>84</v>
      </c>
      <c r="B87" t="s">
        <v>164</v>
      </c>
      <c r="C87" t="s">
        <v>165</v>
      </c>
      <c r="D87" t="s">
        <v>76</v>
      </c>
      <c r="E87" t="b">
        <v>0</v>
      </c>
      <c r="F87" t="b">
        <v>0</v>
      </c>
      <c r="G87" t="s">
        <v>20</v>
      </c>
      <c r="H87" t="s">
        <v>20</v>
      </c>
      <c r="I87" t="s">
        <v>139</v>
      </c>
      <c r="J87" t="s">
        <v>66</v>
      </c>
    </row>
    <row r="88" spans="1:11" x14ac:dyDescent="0.2">
      <c r="A88" s="1">
        <v>85</v>
      </c>
      <c r="B88" t="s">
        <v>164</v>
      </c>
      <c r="C88" t="s">
        <v>165</v>
      </c>
      <c r="D88" t="s">
        <v>76</v>
      </c>
      <c r="E88" t="b">
        <v>1</v>
      </c>
      <c r="F88" t="b">
        <v>1</v>
      </c>
      <c r="G88" t="s">
        <v>316</v>
      </c>
      <c r="H88" t="s">
        <v>117</v>
      </c>
      <c r="I88" t="s">
        <v>138</v>
      </c>
      <c r="J88" t="s">
        <v>4</v>
      </c>
    </row>
    <row r="89" spans="1:11" x14ac:dyDescent="0.2">
      <c r="A89" s="1">
        <v>86</v>
      </c>
      <c r="B89" t="s">
        <v>169</v>
      </c>
      <c r="C89" t="s">
        <v>168</v>
      </c>
      <c r="D89" t="s">
        <v>76</v>
      </c>
      <c r="E89" t="b">
        <v>1</v>
      </c>
      <c r="F89" t="b">
        <v>1</v>
      </c>
      <c r="G89" t="s">
        <v>170</v>
      </c>
      <c r="H89" t="s">
        <v>166</v>
      </c>
      <c r="I89" t="s">
        <v>138</v>
      </c>
      <c r="J89" t="s">
        <v>4</v>
      </c>
    </row>
    <row r="90" spans="1:11" x14ac:dyDescent="0.2">
      <c r="A90" s="1">
        <v>87</v>
      </c>
      <c r="B90" t="s">
        <v>169</v>
      </c>
      <c r="C90" t="s">
        <v>168</v>
      </c>
      <c r="D90" t="s">
        <v>76</v>
      </c>
      <c r="E90" t="b">
        <v>1</v>
      </c>
      <c r="F90" t="b">
        <v>1</v>
      </c>
      <c r="G90" t="s">
        <v>170</v>
      </c>
      <c r="H90" t="s">
        <v>167</v>
      </c>
      <c r="I90" t="s">
        <v>138</v>
      </c>
      <c r="J90" t="s">
        <v>4</v>
      </c>
    </row>
    <row r="91" spans="1:11" x14ac:dyDescent="0.2">
      <c r="A91" s="1">
        <v>88</v>
      </c>
      <c r="B91" t="s">
        <v>171</v>
      </c>
      <c r="C91" t="s">
        <v>172</v>
      </c>
      <c r="D91" t="s">
        <v>76</v>
      </c>
      <c r="E91" t="b">
        <v>1</v>
      </c>
      <c r="F91" t="b">
        <v>1</v>
      </c>
      <c r="G91" t="s">
        <v>170</v>
      </c>
      <c r="H91" t="s">
        <v>100</v>
      </c>
      <c r="I91" t="s">
        <v>138</v>
      </c>
      <c r="J91" t="s">
        <v>4</v>
      </c>
    </row>
    <row r="92" spans="1:11" x14ac:dyDescent="0.2">
      <c r="A92" s="1">
        <v>89</v>
      </c>
      <c r="B92" t="s">
        <v>171</v>
      </c>
      <c r="C92" t="s">
        <v>172</v>
      </c>
      <c r="D92" t="s">
        <v>76</v>
      </c>
      <c r="E92" t="b">
        <v>1</v>
      </c>
      <c r="F92" t="b">
        <v>1</v>
      </c>
      <c r="G92" t="s">
        <v>170</v>
      </c>
      <c r="H92" t="s">
        <v>86</v>
      </c>
      <c r="I92" t="s">
        <v>138</v>
      </c>
      <c r="J92" t="s">
        <v>4</v>
      </c>
    </row>
    <row r="93" spans="1:11" x14ac:dyDescent="0.2">
      <c r="A93" s="1">
        <v>90</v>
      </c>
      <c r="B93" t="s">
        <v>171</v>
      </c>
      <c r="C93" t="s">
        <v>172</v>
      </c>
      <c r="D93" t="s">
        <v>76</v>
      </c>
      <c r="E93" t="b">
        <v>0</v>
      </c>
      <c r="F93" t="b">
        <v>1</v>
      </c>
      <c r="G93" t="s">
        <v>173</v>
      </c>
      <c r="H93" t="s">
        <v>173</v>
      </c>
      <c r="I93" t="s">
        <v>174</v>
      </c>
      <c r="J93" t="s">
        <v>66</v>
      </c>
      <c r="K93" t="s">
        <v>175</v>
      </c>
    </row>
    <row r="94" spans="1:11" x14ac:dyDescent="0.2">
      <c r="A94" s="1">
        <v>91</v>
      </c>
      <c r="B94" t="s">
        <v>180</v>
      </c>
      <c r="C94" t="s">
        <v>46</v>
      </c>
      <c r="D94" t="s">
        <v>181</v>
      </c>
      <c r="E94" t="b">
        <v>1</v>
      </c>
      <c r="F94" t="b">
        <v>1</v>
      </c>
      <c r="G94" t="s">
        <v>177</v>
      </c>
      <c r="H94" t="s">
        <v>177</v>
      </c>
      <c r="I94" t="s">
        <v>176</v>
      </c>
      <c r="J94" t="s">
        <v>62</v>
      </c>
    </row>
    <row r="95" spans="1:11" x14ac:dyDescent="0.2">
      <c r="A95" s="1">
        <v>92</v>
      </c>
      <c r="B95" t="s">
        <v>180</v>
      </c>
      <c r="C95" t="s">
        <v>46</v>
      </c>
      <c r="D95" t="s">
        <v>181</v>
      </c>
      <c r="E95" t="b">
        <v>0</v>
      </c>
      <c r="F95" t="b">
        <v>0</v>
      </c>
      <c r="G95" t="s">
        <v>223</v>
      </c>
      <c r="H95" t="s">
        <v>50</v>
      </c>
      <c r="I95" t="s">
        <v>176</v>
      </c>
      <c r="J95" t="s">
        <v>62</v>
      </c>
    </row>
    <row r="96" spans="1:11" x14ac:dyDescent="0.2">
      <c r="A96" s="1">
        <v>93</v>
      </c>
      <c r="B96" t="s">
        <v>180</v>
      </c>
      <c r="C96" t="s">
        <v>46</v>
      </c>
      <c r="D96" t="s">
        <v>181</v>
      </c>
      <c r="E96" t="b">
        <v>0</v>
      </c>
      <c r="F96" t="b">
        <v>0</v>
      </c>
      <c r="G96" t="s">
        <v>222</v>
      </c>
      <c r="H96" t="s">
        <v>375</v>
      </c>
      <c r="I96" t="s">
        <v>176</v>
      </c>
      <c r="J96" t="s">
        <v>62</v>
      </c>
    </row>
    <row r="97" spans="1:10" x14ac:dyDescent="0.2">
      <c r="A97" s="1">
        <v>94</v>
      </c>
      <c r="B97" t="s">
        <v>180</v>
      </c>
      <c r="C97" t="s">
        <v>46</v>
      </c>
      <c r="D97" t="s">
        <v>181</v>
      </c>
      <c r="E97" t="b">
        <v>0</v>
      </c>
      <c r="F97" t="b">
        <v>0</v>
      </c>
      <c r="G97" t="s">
        <v>378</v>
      </c>
      <c r="H97" t="s">
        <v>178</v>
      </c>
      <c r="I97" t="s">
        <v>176</v>
      </c>
      <c r="J97" t="s">
        <v>62</v>
      </c>
    </row>
    <row r="98" spans="1:10" x14ac:dyDescent="0.2">
      <c r="A98" s="1">
        <v>95</v>
      </c>
      <c r="B98" t="s">
        <v>180</v>
      </c>
      <c r="C98" t="s">
        <v>46</v>
      </c>
      <c r="D98" t="s">
        <v>181</v>
      </c>
      <c r="E98" t="b">
        <v>1</v>
      </c>
      <c r="F98" t="b">
        <v>0</v>
      </c>
      <c r="G98" t="s">
        <v>179</v>
      </c>
      <c r="H98" t="s">
        <v>179</v>
      </c>
      <c r="I98" t="s">
        <v>176</v>
      </c>
      <c r="J98" t="s">
        <v>62</v>
      </c>
    </row>
    <row r="99" spans="1:10" x14ac:dyDescent="0.2">
      <c r="A99" s="1">
        <v>96</v>
      </c>
      <c r="B99" t="s">
        <v>182</v>
      </c>
      <c r="C99" t="s">
        <v>183</v>
      </c>
      <c r="D99" t="s">
        <v>181</v>
      </c>
      <c r="E99" t="b">
        <v>0</v>
      </c>
      <c r="F99" t="b">
        <v>0</v>
      </c>
      <c r="G99" t="s">
        <v>200</v>
      </c>
      <c r="H99" t="s">
        <v>200</v>
      </c>
      <c r="I99" t="s">
        <v>141</v>
      </c>
      <c r="J99" t="s">
        <v>66</v>
      </c>
    </row>
    <row r="100" spans="1:10" x14ac:dyDescent="0.2">
      <c r="A100" s="1">
        <v>97</v>
      </c>
      <c r="B100" t="s">
        <v>182</v>
      </c>
      <c r="C100" t="s">
        <v>183</v>
      </c>
      <c r="D100" t="s">
        <v>181</v>
      </c>
      <c r="E100" t="b">
        <v>0</v>
      </c>
      <c r="F100" t="b">
        <v>0</v>
      </c>
      <c r="G100" t="s">
        <v>201</v>
      </c>
      <c r="H100" t="s">
        <v>201</v>
      </c>
      <c r="I100" t="s">
        <v>141</v>
      </c>
      <c r="J100" t="s">
        <v>66</v>
      </c>
    </row>
    <row r="101" spans="1:10" x14ac:dyDescent="0.2">
      <c r="A101" s="1">
        <v>98</v>
      </c>
      <c r="B101" t="s">
        <v>182</v>
      </c>
      <c r="C101" t="s">
        <v>183</v>
      </c>
      <c r="D101" t="s">
        <v>181</v>
      </c>
      <c r="E101" t="b">
        <v>0</v>
      </c>
      <c r="F101" t="b">
        <v>0</v>
      </c>
      <c r="G101" t="s">
        <v>379</v>
      </c>
      <c r="H101" t="s">
        <v>202</v>
      </c>
      <c r="I101" t="s">
        <v>184</v>
      </c>
      <c r="J101" t="s">
        <v>66</v>
      </c>
    </row>
    <row r="102" spans="1:10" x14ac:dyDescent="0.2">
      <c r="A102" s="1">
        <v>99</v>
      </c>
      <c r="B102" t="s">
        <v>182</v>
      </c>
      <c r="C102" t="s">
        <v>183</v>
      </c>
      <c r="D102" t="s">
        <v>181</v>
      </c>
      <c r="E102" t="b">
        <v>0</v>
      </c>
      <c r="F102" t="b">
        <v>0</v>
      </c>
      <c r="G102" t="s">
        <v>185</v>
      </c>
      <c r="H102" t="s">
        <v>185</v>
      </c>
      <c r="I102" t="s">
        <v>138</v>
      </c>
      <c r="J102" t="s">
        <v>62</v>
      </c>
    </row>
    <row r="103" spans="1:10" x14ac:dyDescent="0.2">
      <c r="A103" s="1">
        <v>100</v>
      </c>
      <c r="B103" t="s">
        <v>182</v>
      </c>
      <c r="C103" t="s">
        <v>183</v>
      </c>
      <c r="D103" t="s">
        <v>181</v>
      </c>
      <c r="E103" t="b">
        <v>1</v>
      </c>
      <c r="F103" t="b">
        <v>1</v>
      </c>
      <c r="G103" t="s">
        <v>170</v>
      </c>
      <c r="H103" t="s">
        <v>87</v>
      </c>
      <c r="I103" t="s">
        <v>138</v>
      </c>
      <c r="J103" t="s">
        <v>4</v>
      </c>
    </row>
    <row r="104" spans="1:10" x14ac:dyDescent="0.2">
      <c r="A104" s="1">
        <v>101</v>
      </c>
      <c r="B104" t="s">
        <v>182</v>
      </c>
      <c r="C104" t="s">
        <v>183</v>
      </c>
      <c r="D104" t="s">
        <v>181</v>
      </c>
      <c r="E104" t="b">
        <v>1</v>
      </c>
      <c r="F104" t="b">
        <v>1</v>
      </c>
      <c r="G104" t="s">
        <v>170</v>
      </c>
      <c r="H104" t="s">
        <v>186</v>
      </c>
      <c r="I104" t="s">
        <v>138</v>
      </c>
      <c r="J104" t="s">
        <v>4</v>
      </c>
    </row>
    <row r="105" spans="1:10" x14ac:dyDescent="0.2">
      <c r="A105" s="1">
        <v>102</v>
      </c>
      <c r="B105" t="s">
        <v>187</v>
      </c>
      <c r="C105" t="s">
        <v>188</v>
      </c>
      <c r="D105" t="s">
        <v>181</v>
      </c>
      <c r="E105" t="b">
        <v>1</v>
      </c>
      <c r="F105" t="b">
        <v>1</v>
      </c>
      <c r="G105" t="s">
        <v>316</v>
      </c>
      <c r="H105" t="s">
        <v>189</v>
      </c>
      <c r="I105" t="s">
        <v>138</v>
      </c>
      <c r="J105" t="s">
        <v>4</v>
      </c>
    </row>
    <row r="106" spans="1:10" x14ac:dyDescent="0.2">
      <c r="A106" s="1">
        <v>103</v>
      </c>
      <c r="B106" t="s">
        <v>191</v>
      </c>
      <c r="C106" t="s">
        <v>16</v>
      </c>
      <c r="D106" t="s">
        <v>192</v>
      </c>
      <c r="E106" t="b">
        <v>1</v>
      </c>
      <c r="F106" t="b">
        <v>0</v>
      </c>
      <c r="G106" t="s">
        <v>385</v>
      </c>
      <c r="H106" t="s">
        <v>202</v>
      </c>
      <c r="I106" t="s">
        <v>58</v>
      </c>
      <c r="J106" t="s">
        <v>62</v>
      </c>
    </row>
    <row r="107" spans="1:10" x14ac:dyDescent="0.2">
      <c r="A107" s="1">
        <v>104</v>
      </c>
      <c r="B107" t="s">
        <v>191</v>
      </c>
      <c r="C107" t="s">
        <v>16</v>
      </c>
      <c r="D107" t="s">
        <v>192</v>
      </c>
      <c r="E107" t="b">
        <v>1</v>
      </c>
      <c r="F107" t="b">
        <v>0</v>
      </c>
      <c r="G107" t="s">
        <v>381</v>
      </c>
      <c r="H107" t="s">
        <v>202</v>
      </c>
      <c r="I107" t="s">
        <v>5</v>
      </c>
      <c r="J107" t="s">
        <v>62</v>
      </c>
    </row>
    <row r="108" spans="1:10" x14ac:dyDescent="0.2">
      <c r="A108" s="1">
        <v>105</v>
      </c>
      <c r="B108" t="s">
        <v>191</v>
      </c>
      <c r="C108" t="s">
        <v>16</v>
      </c>
      <c r="D108" t="s">
        <v>192</v>
      </c>
      <c r="E108" t="b">
        <v>0</v>
      </c>
      <c r="F108" t="b">
        <v>0</v>
      </c>
      <c r="G108" t="s">
        <v>380</v>
      </c>
      <c r="H108" t="s">
        <v>202</v>
      </c>
      <c r="I108" t="s">
        <v>190</v>
      </c>
      <c r="J108" t="s">
        <v>66</v>
      </c>
    </row>
    <row r="109" spans="1:10" x14ac:dyDescent="0.2">
      <c r="A109" s="1">
        <v>106</v>
      </c>
      <c r="B109" t="s">
        <v>191</v>
      </c>
      <c r="C109" t="s">
        <v>16</v>
      </c>
      <c r="D109" t="s">
        <v>192</v>
      </c>
      <c r="E109" t="b">
        <v>1</v>
      </c>
      <c r="F109" t="b">
        <v>1</v>
      </c>
      <c r="G109" t="s">
        <v>170</v>
      </c>
      <c r="H109" t="s">
        <v>166</v>
      </c>
      <c r="I109" t="s">
        <v>138</v>
      </c>
      <c r="J109" t="s">
        <v>4</v>
      </c>
    </row>
    <row r="110" spans="1:10" x14ac:dyDescent="0.2">
      <c r="A110" s="1">
        <v>107</v>
      </c>
      <c r="B110" t="s">
        <v>191</v>
      </c>
      <c r="C110" t="s">
        <v>16</v>
      </c>
      <c r="D110" t="s">
        <v>192</v>
      </c>
      <c r="E110" t="b">
        <v>1</v>
      </c>
      <c r="F110" t="b">
        <v>1</v>
      </c>
      <c r="G110" t="s">
        <v>170</v>
      </c>
      <c r="H110" t="s">
        <v>193</v>
      </c>
      <c r="I110" t="s">
        <v>138</v>
      </c>
      <c r="J110" t="s">
        <v>4</v>
      </c>
    </row>
    <row r="111" spans="1:10" x14ac:dyDescent="0.2">
      <c r="A111" s="1">
        <v>108</v>
      </c>
      <c r="B111" t="s">
        <v>191</v>
      </c>
      <c r="C111" t="s">
        <v>16</v>
      </c>
      <c r="D111" t="s">
        <v>192</v>
      </c>
      <c r="E111" t="b">
        <v>1</v>
      </c>
      <c r="F111" t="b">
        <v>1</v>
      </c>
      <c r="G111" t="s">
        <v>170</v>
      </c>
      <c r="H111" t="s">
        <v>194</v>
      </c>
      <c r="I111" t="s">
        <v>138</v>
      </c>
      <c r="J111" t="s">
        <v>4</v>
      </c>
    </row>
    <row r="112" spans="1:10" x14ac:dyDescent="0.2">
      <c r="A112" s="1">
        <v>109</v>
      </c>
      <c r="B112" t="s">
        <v>196</v>
      </c>
      <c r="C112" t="s">
        <v>197</v>
      </c>
      <c r="D112" t="s">
        <v>181</v>
      </c>
      <c r="E112" t="b">
        <v>0</v>
      </c>
      <c r="F112" t="b">
        <v>0</v>
      </c>
      <c r="G112" t="s">
        <v>382</v>
      </c>
      <c r="H112" t="s">
        <v>202</v>
      </c>
      <c r="I112" t="s">
        <v>33</v>
      </c>
      <c r="J112" t="s">
        <v>66</v>
      </c>
    </row>
    <row r="113" spans="1:11" x14ac:dyDescent="0.2">
      <c r="A113" s="1">
        <v>110</v>
      </c>
      <c r="B113" t="s">
        <v>196</v>
      </c>
      <c r="C113" t="s">
        <v>197</v>
      </c>
      <c r="D113" t="s">
        <v>181</v>
      </c>
      <c r="E113" t="b">
        <v>0</v>
      </c>
      <c r="F113" t="b">
        <v>0</v>
      </c>
      <c r="G113" t="s">
        <v>379</v>
      </c>
      <c r="H113" t="s">
        <v>202</v>
      </c>
      <c r="I113" t="s">
        <v>184</v>
      </c>
      <c r="J113" t="s">
        <v>66</v>
      </c>
      <c r="K113" t="s">
        <v>195</v>
      </c>
    </row>
    <row r="114" spans="1:11" x14ac:dyDescent="0.2">
      <c r="A114" s="1">
        <v>111</v>
      </c>
      <c r="B114" t="s">
        <v>204</v>
      </c>
      <c r="C114" t="s">
        <v>44</v>
      </c>
      <c r="D114" t="s">
        <v>192</v>
      </c>
      <c r="E114" t="b">
        <v>0</v>
      </c>
      <c r="F114" t="b">
        <v>0</v>
      </c>
      <c r="G114" t="s">
        <v>383</v>
      </c>
      <c r="H114" t="s">
        <v>198</v>
      </c>
      <c r="I114" t="s">
        <v>141</v>
      </c>
      <c r="J114" t="s">
        <v>62</v>
      </c>
    </row>
    <row r="115" spans="1:11" x14ac:dyDescent="0.2">
      <c r="A115" s="1">
        <v>112</v>
      </c>
      <c r="B115" t="s">
        <v>204</v>
      </c>
      <c r="C115" t="s">
        <v>44</v>
      </c>
      <c r="D115" t="s">
        <v>192</v>
      </c>
      <c r="E115" t="b">
        <v>0</v>
      </c>
      <c r="F115" t="b">
        <v>0</v>
      </c>
      <c r="G115" t="s">
        <v>384</v>
      </c>
      <c r="H115" t="s">
        <v>126</v>
      </c>
      <c r="I115" t="s">
        <v>141</v>
      </c>
      <c r="J115" t="s">
        <v>62</v>
      </c>
    </row>
    <row r="116" spans="1:11" x14ac:dyDescent="0.2">
      <c r="A116" s="1">
        <v>113</v>
      </c>
      <c r="B116" t="s">
        <v>204</v>
      </c>
      <c r="C116" t="s">
        <v>44</v>
      </c>
      <c r="D116" t="s">
        <v>192</v>
      </c>
      <c r="E116" t="b">
        <v>1</v>
      </c>
      <c r="F116" t="b">
        <v>0</v>
      </c>
      <c r="G116" t="s">
        <v>385</v>
      </c>
      <c r="H116" t="s">
        <v>202</v>
      </c>
      <c r="I116" t="s">
        <v>199</v>
      </c>
      <c r="J116" t="s">
        <v>66</v>
      </c>
    </row>
    <row r="117" spans="1:11" x14ac:dyDescent="0.2">
      <c r="A117" s="1">
        <v>114</v>
      </c>
      <c r="B117" t="s">
        <v>204</v>
      </c>
      <c r="C117" t="s">
        <v>44</v>
      </c>
      <c r="D117" t="s">
        <v>192</v>
      </c>
      <c r="E117" t="b">
        <v>0</v>
      </c>
      <c r="F117" t="b">
        <v>0</v>
      </c>
      <c r="G117" t="s">
        <v>367</v>
      </c>
      <c r="H117" t="s">
        <v>202</v>
      </c>
      <c r="I117" t="s">
        <v>43</v>
      </c>
      <c r="J117" t="s">
        <v>66</v>
      </c>
    </row>
    <row r="118" spans="1:11" x14ac:dyDescent="0.2">
      <c r="A118" s="1">
        <v>115</v>
      </c>
      <c r="B118" t="s">
        <v>204</v>
      </c>
      <c r="C118" t="s">
        <v>44</v>
      </c>
      <c r="D118" t="s">
        <v>192</v>
      </c>
      <c r="E118" t="b">
        <v>0</v>
      </c>
      <c r="F118" t="b">
        <v>0</v>
      </c>
      <c r="G118" t="s">
        <v>386</v>
      </c>
      <c r="H118" t="s">
        <v>202</v>
      </c>
      <c r="I118" t="s">
        <v>45</v>
      </c>
      <c r="J118" t="s">
        <v>66</v>
      </c>
    </row>
    <row r="119" spans="1:11" x14ac:dyDescent="0.2">
      <c r="A119" s="1">
        <v>116</v>
      </c>
      <c r="B119" t="s">
        <v>204</v>
      </c>
      <c r="C119" t="s">
        <v>44</v>
      </c>
      <c r="D119" t="s">
        <v>192</v>
      </c>
      <c r="E119" t="b">
        <v>1</v>
      </c>
      <c r="F119" t="b">
        <v>0</v>
      </c>
      <c r="G119" t="s">
        <v>387</v>
      </c>
      <c r="H119" t="s">
        <v>202</v>
      </c>
      <c r="I119" t="s">
        <v>203</v>
      </c>
      <c r="J119" t="s">
        <v>66</v>
      </c>
    </row>
    <row r="120" spans="1:11" x14ac:dyDescent="0.2">
      <c r="A120" s="1">
        <v>117</v>
      </c>
      <c r="B120" t="s">
        <v>204</v>
      </c>
      <c r="C120" t="s">
        <v>44</v>
      </c>
      <c r="D120" t="s">
        <v>192</v>
      </c>
      <c r="E120" t="b">
        <v>1</v>
      </c>
      <c r="F120" t="b">
        <v>1</v>
      </c>
      <c r="G120" t="s">
        <v>388</v>
      </c>
      <c r="H120" t="s">
        <v>51</v>
      </c>
      <c r="I120" t="s">
        <v>138</v>
      </c>
      <c r="J120" t="s">
        <v>62</v>
      </c>
    </row>
    <row r="121" spans="1:11" x14ac:dyDescent="0.2">
      <c r="A121" s="1">
        <v>118</v>
      </c>
      <c r="B121" t="s">
        <v>204</v>
      </c>
      <c r="C121" t="s">
        <v>44</v>
      </c>
      <c r="D121" t="s">
        <v>192</v>
      </c>
      <c r="E121" t="b">
        <v>1</v>
      </c>
      <c r="F121" t="b">
        <v>1</v>
      </c>
      <c r="G121" t="s">
        <v>170</v>
      </c>
      <c r="H121" t="s">
        <v>166</v>
      </c>
      <c r="I121" t="s">
        <v>138</v>
      </c>
      <c r="J121" t="s">
        <v>4</v>
      </c>
    </row>
    <row r="122" spans="1:11" x14ac:dyDescent="0.2">
      <c r="A122" s="1">
        <v>119</v>
      </c>
      <c r="B122" t="s">
        <v>205</v>
      </c>
      <c r="C122" t="s">
        <v>206</v>
      </c>
      <c r="D122" t="s">
        <v>181</v>
      </c>
      <c r="E122" t="b">
        <v>1</v>
      </c>
      <c r="F122" t="b">
        <v>1</v>
      </c>
      <c r="G122" t="s">
        <v>170</v>
      </c>
      <c r="H122" t="s">
        <v>87</v>
      </c>
      <c r="I122" t="s">
        <v>138</v>
      </c>
      <c r="J122" t="s">
        <v>4</v>
      </c>
    </row>
    <row r="123" spans="1:11" x14ac:dyDescent="0.2">
      <c r="A123" s="1">
        <v>120</v>
      </c>
      <c r="B123" t="s">
        <v>205</v>
      </c>
      <c r="C123" t="s">
        <v>206</v>
      </c>
      <c r="D123" t="s">
        <v>181</v>
      </c>
      <c r="E123" t="b">
        <v>1</v>
      </c>
      <c r="F123" t="b">
        <v>1</v>
      </c>
      <c r="G123" t="s">
        <v>170</v>
      </c>
      <c r="H123" t="s">
        <v>166</v>
      </c>
      <c r="I123" t="s">
        <v>138</v>
      </c>
      <c r="J123" t="s">
        <v>4</v>
      </c>
    </row>
    <row r="124" spans="1:11" x14ac:dyDescent="0.2">
      <c r="A124" s="1">
        <v>121</v>
      </c>
      <c r="B124" t="s">
        <v>207</v>
      </c>
      <c r="C124" t="s">
        <v>208</v>
      </c>
      <c r="D124" t="s">
        <v>192</v>
      </c>
      <c r="E124" t="b">
        <v>1</v>
      </c>
      <c r="F124" t="b">
        <v>1</v>
      </c>
      <c r="G124" t="s">
        <v>170</v>
      </c>
      <c r="H124" t="s">
        <v>85</v>
      </c>
      <c r="I124" t="s">
        <v>138</v>
      </c>
      <c r="J124" t="s">
        <v>4</v>
      </c>
    </row>
    <row r="125" spans="1:11" x14ac:dyDescent="0.2">
      <c r="A125" s="1">
        <v>122</v>
      </c>
      <c r="B125" t="s">
        <v>215</v>
      </c>
      <c r="C125" t="s">
        <v>216</v>
      </c>
      <c r="D125" t="s">
        <v>192</v>
      </c>
      <c r="E125" t="b">
        <v>0</v>
      </c>
      <c r="F125" t="b">
        <v>0</v>
      </c>
      <c r="G125" t="s">
        <v>223</v>
      </c>
      <c r="H125" t="s">
        <v>210</v>
      </c>
      <c r="I125" t="s">
        <v>141</v>
      </c>
      <c r="J125" t="s">
        <v>66</v>
      </c>
    </row>
    <row r="126" spans="1:11" x14ac:dyDescent="0.2">
      <c r="A126" s="1">
        <v>123</v>
      </c>
      <c r="B126" t="s">
        <v>215</v>
      </c>
      <c r="C126" t="s">
        <v>216</v>
      </c>
      <c r="D126" t="s">
        <v>192</v>
      </c>
      <c r="E126" t="b">
        <v>1</v>
      </c>
      <c r="F126" t="b">
        <v>1</v>
      </c>
      <c r="G126" t="s">
        <v>170</v>
      </c>
      <c r="H126" t="s">
        <v>84</v>
      </c>
      <c r="I126" t="s">
        <v>138</v>
      </c>
      <c r="J126" t="s">
        <v>4</v>
      </c>
    </row>
    <row r="127" spans="1:11" x14ac:dyDescent="0.2">
      <c r="A127" s="1">
        <v>124</v>
      </c>
      <c r="B127" t="s">
        <v>215</v>
      </c>
      <c r="C127" t="s">
        <v>216</v>
      </c>
      <c r="D127" t="s">
        <v>192</v>
      </c>
      <c r="E127" t="b">
        <v>1</v>
      </c>
      <c r="F127" t="b">
        <v>1</v>
      </c>
      <c r="G127" t="s">
        <v>211</v>
      </c>
      <c r="H127" t="s">
        <v>213</v>
      </c>
      <c r="I127" t="s">
        <v>138</v>
      </c>
      <c r="J127" t="s">
        <v>4</v>
      </c>
    </row>
    <row r="128" spans="1:11" x14ac:dyDescent="0.2">
      <c r="A128" s="1">
        <v>125</v>
      </c>
      <c r="B128" t="s">
        <v>215</v>
      </c>
      <c r="C128" t="s">
        <v>216</v>
      </c>
      <c r="D128" t="s">
        <v>192</v>
      </c>
      <c r="E128" t="b">
        <v>1</v>
      </c>
      <c r="F128" t="b">
        <v>1</v>
      </c>
      <c r="G128" t="s">
        <v>212</v>
      </c>
      <c r="H128" t="s">
        <v>214</v>
      </c>
      <c r="I128" t="s">
        <v>138</v>
      </c>
      <c r="J128" t="s">
        <v>4</v>
      </c>
    </row>
    <row r="129" spans="1:10" x14ac:dyDescent="0.2">
      <c r="A129" s="1">
        <v>126</v>
      </c>
      <c r="B129" t="s">
        <v>217</v>
      </c>
      <c r="C129" t="s">
        <v>48</v>
      </c>
      <c r="D129" t="s">
        <v>192</v>
      </c>
      <c r="E129" t="b">
        <v>1</v>
      </c>
      <c r="F129" t="b">
        <v>1</v>
      </c>
      <c r="G129" t="s">
        <v>212</v>
      </c>
      <c r="H129" t="s">
        <v>218</v>
      </c>
      <c r="I129" t="s">
        <v>138</v>
      </c>
      <c r="J129" t="s">
        <v>4</v>
      </c>
    </row>
    <row r="130" spans="1:10" x14ac:dyDescent="0.2">
      <c r="A130" s="1">
        <v>127</v>
      </c>
      <c r="B130" t="s">
        <v>217</v>
      </c>
      <c r="C130" t="s">
        <v>48</v>
      </c>
      <c r="D130" t="s">
        <v>192</v>
      </c>
      <c r="E130" t="b">
        <v>1</v>
      </c>
      <c r="F130" t="b">
        <v>1</v>
      </c>
      <c r="G130" t="s">
        <v>212</v>
      </c>
      <c r="H130" t="s">
        <v>219</v>
      </c>
      <c r="I130" t="s">
        <v>138</v>
      </c>
      <c r="J130" t="s">
        <v>4</v>
      </c>
    </row>
    <row r="131" spans="1:10" x14ac:dyDescent="0.2">
      <c r="A131" s="1">
        <v>128</v>
      </c>
      <c r="B131" t="s">
        <v>226</v>
      </c>
      <c r="C131" t="s">
        <v>227</v>
      </c>
      <c r="D131" t="s">
        <v>192</v>
      </c>
      <c r="E131" t="b">
        <v>0</v>
      </c>
      <c r="F131" t="b">
        <v>0</v>
      </c>
      <c r="G131" t="s">
        <v>220</v>
      </c>
      <c r="H131" t="s">
        <v>220</v>
      </c>
      <c r="I131" t="s">
        <v>138</v>
      </c>
      <c r="J131" t="s">
        <v>66</v>
      </c>
    </row>
    <row r="132" spans="1:10" x14ac:dyDescent="0.2">
      <c r="A132" s="1">
        <v>129</v>
      </c>
      <c r="B132" t="s">
        <v>226</v>
      </c>
      <c r="C132" t="s">
        <v>227</v>
      </c>
      <c r="D132" t="s">
        <v>192</v>
      </c>
      <c r="E132" t="b">
        <v>0</v>
      </c>
      <c r="F132" t="b">
        <v>0</v>
      </c>
      <c r="G132" t="s">
        <v>221</v>
      </c>
      <c r="H132" t="s">
        <v>221</v>
      </c>
      <c r="I132" t="s">
        <v>138</v>
      </c>
      <c r="J132" t="s">
        <v>66</v>
      </c>
    </row>
    <row r="133" spans="1:10" x14ac:dyDescent="0.2">
      <c r="A133" s="1">
        <v>130</v>
      </c>
      <c r="B133" t="s">
        <v>226</v>
      </c>
      <c r="C133" t="s">
        <v>227</v>
      </c>
      <c r="D133" t="s">
        <v>192</v>
      </c>
      <c r="E133" t="b">
        <v>0</v>
      </c>
      <c r="F133" t="b">
        <v>0</v>
      </c>
      <c r="G133" t="s">
        <v>222</v>
      </c>
      <c r="H133" t="s">
        <v>222</v>
      </c>
      <c r="I133" t="s">
        <v>138</v>
      </c>
      <c r="J133" t="s">
        <v>66</v>
      </c>
    </row>
    <row r="134" spans="1:10" x14ac:dyDescent="0.2">
      <c r="A134" s="1">
        <v>131</v>
      </c>
      <c r="B134" t="s">
        <v>226</v>
      </c>
      <c r="C134" t="s">
        <v>227</v>
      </c>
      <c r="D134" t="s">
        <v>192</v>
      </c>
      <c r="E134" t="b">
        <v>0</v>
      </c>
      <c r="F134" t="b">
        <v>0</v>
      </c>
      <c r="G134" t="s">
        <v>223</v>
      </c>
      <c r="H134" t="s">
        <v>223</v>
      </c>
      <c r="I134" t="s">
        <v>138</v>
      </c>
      <c r="J134" t="s">
        <v>66</v>
      </c>
    </row>
    <row r="135" spans="1:10" x14ac:dyDescent="0.2">
      <c r="A135" s="1">
        <v>132</v>
      </c>
      <c r="B135" t="s">
        <v>226</v>
      </c>
      <c r="C135" t="s">
        <v>227</v>
      </c>
      <c r="D135" t="s">
        <v>192</v>
      </c>
      <c r="E135" t="b">
        <v>0</v>
      </c>
      <c r="F135" t="b">
        <v>0</v>
      </c>
      <c r="G135" t="s">
        <v>224</v>
      </c>
      <c r="H135" t="s">
        <v>224</v>
      </c>
      <c r="I135" t="s">
        <v>138</v>
      </c>
      <c r="J135" t="s">
        <v>66</v>
      </c>
    </row>
    <row r="136" spans="1:10" x14ac:dyDescent="0.2">
      <c r="A136" s="1">
        <v>133</v>
      </c>
      <c r="B136" t="s">
        <v>226</v>
      </c>
      <c r="C136" t="s">
        <v>227</v>
      </c>
      <c r="D136" t="s">
        <v>192</v>
      </c>
      <c r="E136" t="b">
        <v>0</v>
      </c>
      <c r="F136" t="b">
        <v>0</v>
      </c>
      <c r="G136" t="s">
        <v>209</v>
      </c>
      <c r="H136" t="s">
        <v>209</v>
      </c>
      <c r="I136" t="s">
        <v>141</v>
      </c>
      <c r="J136" t="s">
        <v>62</v>
      </c>
    </row>
    <row r="137" spans="1:10" x14ac:dyDescent="0.2">
      <c r="A137" s="1">
        <v>134</v>
      </c>
      <c r="B137" t="s">
        <v>226</v>
      </c>
      <c r="C137" t="s">
        <v>227</v>
      </c>
      <c r="D137" t="s">
        <v>192</v>
      </c>
      <c r="E137" t="b">
        <v>0</v>
      </c>
      <c r="F137" t="b">
        <v>0</v>
      </c>
      <c r="G137" t="s">
        <v>60</v>
      </c>
      <c r="H137" t="s">
        <v>225</v>
      </c>
      <c r="I137" t="s">
        <v>138</v>
      </c>
      <c r="J137" t="s">
        <v>66</v>
      </c>
    </row>
    <row r="138" spans="1:10" x14ac:dyDescent="0.2">
      <c r="A138" s="1">
        <v>135</v>
      </c>
      <c r="B138" t="s">
        <v>226</v>
      </c>
      <c r="C138" t="s">
        <v>227</v>
      </c>
      <c r="D138" t="s">
        <v>192</v>
      </c>
      <c r="E138" t="b">
        <v>0</v>
      </c>
      <c r="F138" t="b">
        <v>0</v>
      </c>
      <c r="G138" t="s">
        <v>228</v>
      </c>
      <c r="H138" t="s">
        <v>228</v>
      </c>
      <c r="I138" t="s">
        <v>138</v>
      </c>
      <c r="J138" t="s">
        <v>17</v>
      </c>
    </row>
    <row r="139" spans="1:10" x14ac:dyDescent="0.2">
      <c r="A139" s="1">
        <v>136</v>
      </c>
      <c r="B139" t="s">
        <v>229</v>
      </c>
      <c r="C139" t="s">
        <v>230</v>
      </c>
      <c r="D139" t="s">
        <v>181</v>
      </c>
      <c r="E139" t="b">
        <v>0</v>
      </c>
      <c r="F139" t="b">
        <v>0</v>
      </c>
      <c r="G139" t="s">
        <v>383</v>
      </c>
      <c r="H139" t="s">
        <v>198</v>
      </c>
      <c r="I139" t="s">
        <v>141</v>
      </c>
      <c r="J139" t="s">
        <v>62</v>
      </c>
    </row>
    <row r="140" spans="1:10" x14ac:dyDescent="0.2">
      <c r="A140" s="1">
        <v>137</v>
      </c>
      <c r="B140" t="s">
        <v>229</v>
      </c>
      <c r="C140" t="s">
        <v>230</v>
      </c>
      <c r="D140" t="s">
        <v>181</v>
      </c>
      <c r="E140" t="b">
        <v>0</v>
      </c>
      <c r="F140" t="b">
        <v>0</v>
      </c>
      <c r="G140" t="s">
        <v>384</v>
      </c>
      <c r="H140" t="s">
        <v>126</v>
      </c>
      <c r="I140" t="s">
        <v>141</v>
      </c>
      <c r="J140" t="s">
        <v>62</v>
      </c>
    </row>
    <row r="141" spans="1:10" x14ac:dyDescent="0.2">
      <c r="A141" s="1">
        <v>138</v>
      </c>
      <c r="B141" t="s">
        <v>229</v>
      </c>
      <c r="C141" t="s">
        <v>230</v>
      </c>
      <c r="D141" t="s">
        <v>181</v>
      </c>
      <c r="E141" t="b">
        <v>0</v>
      </c>
      <c r="F141" t="b">
        <v>0</v>
      </c>
      <c r="G141" t="s">
        <v>209</v>
      </c>
      <c r="H141" t="s">
        <v>209</v>
      </c>
      <c r="I141" t="s">
        <v>141</v>
      </c>
      <c r="J141" t="s">
        <v>66</v>
      </c>
    </row>
    <row r="142" spans="1:10" x14ac:dyDescent="0.2">
      <c r="A142" s="1">
        <v>139</v>
      </c>
      <c r="B142" t="s">
        <v>231</v>
      </c>
      <c r="C142" t="s">
        <v>232</v>
      </c>
      <c r="D142" t="s">
        <v>181</v>
      </c>
      <c r="E142" t="b">
        <v>0</v>
      </c>
      <c r="F142" t="b">
        <v>0</v>
      </c>
      <c r="G142" t="s">
        <v>384</v>
      </c>
      <c r="H142" t="s">
        <v>126</v>
      </c>
      <c r="I142" t="s">
        <v>141</v>
      </c>
      <c r="J142" t="s">
        <v>62</v>
      </c>
    </row>
    <row r="143" spans="1:10" x14ac:dyDescent="0.2">
      <c r="A143" s="1">
        <v>140</v>
      </c>
      <c r="B143" t="s">
        <v>231</v>
      </c>
      <c r="C143" t="s">
        <v>232</v>
      </c>
      <c r="D143" t="s">
        <v>181</v>
      </c>
      <c r="E143" t="b">
        <v>0</v>
      </c>
      <c r="F143" t="b">
        <v>0</v>
      </c>
      <c r="G143" t="s">
        <v>425</v>
      </c>
      <c r="H143" t="s">
        <v>422</v>
      </c>
      <c r="I143" t="s">
        <v>61</v>
      </c>
      <c r="J143" t="s">
        <v>66</v>
      </c>
    </row>
    <row r="144" spans="1:10" x14ac:dyDescent="0.2">
      <c r="A144" s="1">
        <v>141</v>
      </c>
      <c r="B144" t="s">
        <v>231</v>
      </c>
      <c r="C144" t="s">
        <v>232</v>
      </c>
      <c r="D144" t="s">
        <v>181</v>
      </c>
      <c r="E144" t="b">
        <v>1</v>
      </c>
      <c r="F144" t="b">
        <v>1</v>
      </c>
      <c r="G144" t="s">
        <v>170</v>
      </c>
      <c r="H144" t="s">
        <v>233</v>
      </c>
      <c r="I144" t="s">
        <v>138</v>
      </c>
      <c r="J144" t="s">
        <v>4</v>
      </c>
    </row>
    <row r="145" spans="1:10" x14ac:dyDescent="0.2">
      <c r="A145" s="1">
        <v>142</v>
      </c>
      <c r="B145" t="s">
        <v>234</v>
      </c>
      <c r="C145" t="s">
        <v>42</v>
      </c>
      <c r="D145" t="s">
        <v>181</v>
      </c>
      <c r="E145" t="b">
        <v>0</v>
      </c>
      <c r="F145" t="b">
        <v>0</v>
      </c>
      <c r="G145" t="s">
        <v>209</v>
      </c>
      <c r="H145" t="s">
        <v>209</v>
      </c>
      <c r="I145" t="s">
        <v>141</v>
      </c>
      <c r="J145" t="s">
        <v>66</v>
      </c>
    </row>
    <row r="146" spans="1:10" x14ac:dyDescent="0.2">
      <c r="A146" s="1">
        <v>143</v>
      </c>
      <c r="B146" t="s">
        <v>234</v>
      </c>
      <c r="C146" t="s">
        <v>42</v>
      </c>
      <c r="D146" t="s">
        <v>181</v>
      </c>
      <c r="E146" t="b">
        <v>0</v>
      </c>
      <c r="F146" t="b">
        <v>0</v>
      </c>
      <c r="G146" t="s">
        <v>223</v>
      </c>
      <c r="H146" t="s">
        <v>223</v>
      </c>
      <c r="I146" t="s">
        <v>138</v>
      </c>
      <c r="J146" t="s">
        <v>66</v>
      </c>
    </row>
    <row r="147" spans="1:10" x14ac:dyDescent="0.2">
      <c r="A147" s="1">
        <v>144</v>
      </c>
      <c r="B147" t="s">
        <v>234</v>
      </c>
      <c r="C147" t="s">
        <v>42</v>
      </c>
      <c r="D147" t="s">
        <v>181</v>
      </c>
      <c r="E147" t="b">
        <v>0</v>
      </c>
      <c r="F147" t="b">
        <v>0</v>
      </c>
      <c r="G147" t="s">
        <v>389</v>
      </c>
      <c r="H147" t="s">
        <v>224</v>
      </c>
      <c r="I147" t="s">
        <v>138</v>
      </c>
      <c r="J147" t="s">
        <v>66</v>
      </c>
    </row>
    <row r="148" spans="1:10" x14ac:dyDescent="0.2">
      <c r="A148" s="1">
        <v>145</v>
      </c>
      <c r="B148" t="s">
        <v>234</v>
      </c>
      <c r="C148" t="s">
        <v>42</v>
      </c>
      <c r="D148" t="s">
        <v>181</v>
      </c>
      <c r="E148" t="b">
        <v>0</v>
      </c>
      <c r="F148" t="b">
        <v>0</v>
      </c>
      <c r="G148" t="s">
        <v>235</v>
      </c>
      <c r="H148" t="s">
        <v>235</v>
      </c>
      <c r="I148" t="s">
        <v>138</v>
      </c>
      <c r="J148" t="s">
        <v>66</v>
      </c>
    </row>
    <row r="149" spans="1:10" x14ac:dyDescent="0.2">
      <c r="A149" s="1">
        <v>146</v>
      </c>
      <c r="B149" t="s">
        <v>234</v>
      </c>
      <c r="C149" t="s">
        <v>42</v>
      </c>
      <c r="D149" t="s">
        <v>181</v>
      </c>
      <c r="E149" t="b">
        <v>0</v>
      </c>
      <c r="F149" t="b">
        <v>0</v>
      </c>
      <c r="G149" t="s">
        <v>236</v>
      </c>
      <c r="H149" t="s">
        <v>236</v>
      </c>
      <c r="I149" t="s">
        <v>138</v>
      </c>
      <c r="J149" t="s">
        <v>66</v>
      </c>
    </row>
    <row r="150" spans="1:10" x14ac:dyDescent="0.2">
      <c r="A150" s="1">
        <v>147</v>
      </c>
      <c r="B150" t="s">
        <v>234</v>
      </c>
      <c r="C150" t="s">
        <v>42</v>
      </c>
      <c r="D150" t="s">
        <v>181</v>
      </c>
      <c r="E150" t="b">
        <v>0</v>
      </c>
      <c r="F150" t="b">
        <v>0</v>
      </c>
      <c r="G150" t="s">
        <v>379</v>
      </c>
      <c r="H150" t="s">
        <v>202</v>
      </c>
      <c r="I150" t="s">
        <v>184</v>
      </c>
      <c r="J150" t="s">
        <v>66</v>
      </c>
    </row>
    <row r="151" spans="1:10" x14ac:dyDescent="0.2">
      <c r="A151" s="1">
        <v>148</v>
      </c>
      <c r="B151" t="s">
        <v>234</v>
      </c>
      <c r="C151" t="s">
        <v>42</v>
      </c>
      <c r="D151" t="s">
        <v>181</v>
      </c>
      <c r="E151" t="b">
        <v>0</v>
      </c>
      <c r="F151" t="b">
        <v>0</v>
      </c>
      <c r="G151" t="s">
        <v>382</v>
      </c>
      <c r="H151" t="s">
        <v>202</v>
      </c>
      <c r="I151" t="s">
        <v>33</v>
      </c>
      <c r="J151" t="s">
        <v>66</v>
      </c>
    </row>
    <row r="152" spans="1:10" x14ac:dyDescent="0.2">
      <c r="A152" s="1">
        <v>149</v>
      </c>
      <c r="B152" t="s">
        <v>238</v>
      </c>
      <c r="C152" t="s">
        <v>239</v>
      </c>
      <c r="D152" t="s">
        <v>192</v>
      </c>
      <c r="E152" t="b">
        <v>0</v>
      </c>
      <c r="F152" t="b">
        <v>0</v>
      </c>
      <c r="G152" t="s">
        <v>237</v>
      </c>
      <c r="H152" t="s">
        <v>237</v>
      </c>
      <c r="I152" t="s">
        <v>141</v>
      </c>
      <c r="J152" t="s">
        <v>66</v>
      </c>
    </row>
    <row r="153" spans="1:10" x14ac:dyDescent="0.2">
      <c r="A153" s="1">
        <v>150</v>
      </c>
      <c r="B153" t="s">
        <v>238</v>
      </c>
      <c r="C153" t="s">
        <v>239</v>
      </c>
      <c r="D153" t="s">
        <v>192</v>
      </c>
      <c r="E153" t="b">
        <v>1</v>
      </c>
      <c r="F153" t="b">
        <v>0</v>
      </c>
      <c r="G153" t="s">
        <v>55</v>
      </c>
      <c r="H153" t="s">
        <v>240</v>
      </c>
      <c r="I153" t="s">
        <v>141</v>
      </c>
      <c r="J153" t="s">
        <v>66</v>
      </c>
    </row>
    <row r="154" spans="1:10" x14ac:dyDescent="0.2">
      <c r="A154" s="1">
        <v>151</v>
      </c>
      <c r="B154" t="s">
        <v>238</v>
      </c>
      <c r="C154" t="s">
        <v>239</v>
      </c>
      <c r="D154" t="s">
        <v>192</v>
      </c>
      <c r="E154" t="b">
        <v>1</v>
      </c>
      <c r="F154" t="b">
        <v>1</v>
      </c>
      <c r="G154" t="s">
        <v>170</v>
      </c>
      <c r="H154" t="s">
        <v>186</v>
      </c>
      <c r="I154" t="s">
        <v>138</v>
      </c>
      <c r="J154" t="s">
        <v>4</v>
      </c>
    </row>
    <row r="155" spans="1:10" x14ac:dyDescent="0.2">
      <c r="A155" s="1">
        <v>152</v>
      </c>
      <c r="B155" t="s">
        <v>238</v>
      </c>
      <c r="C155" t="s">
        <v>239</v>
      </c>
      <c r="D155" t="s">
        <v>192</v>
      </c>
      <c r="E155" t="b">
        <v>0</v>
      </c>
      <c r="F155" t="b">
        <v>0</v>
      </c>
      <c r="G155" t="s">
        <v>236</v>
      </c>
      <c r="H155" t="s">
        <v>22</v>
      </c>
      <c r="I155" t="s">
        <v>138</v>
      </c>
      <c r="J155" t="s">
        <v>66</v>
      </c>
    </row>
    <row r="156" spans="1:10" x14ac:dyDescent="0.2">
      <c r="A156" s="1">
        <v>153</v>
      </c>
      <c r="B156" t="s">
        <v>238</v>
      </c>
      <c r="C156" t="s">
        <v>239</v>
      </c>
      <c r="D156" t="s">
        <v>192</v>
      </c>
      <c r="E156" t="b">
        <v>0</v>
      </c>
      <c r="F156" t="b">
        <v>0</v>
      </c>
      <c r="G156" t="s">
        <v>235</v>
      </c>
      <c r="H156" t="s">
        <v>23</v>
      </c>
      <c r="I156" t="s">
        <v>138</v>
      </c>
      <c r="J156" t="s">
        <v>66</v>
      </c>
    </row>
    <row r="157" spans="1:10" x14ac:dyDescent="0.2">
      <c r="A157" s="1">
        <v>154</v>
      </c>
      <c r="B157" t="s">
        <v>238</v>
      </c>
      <c r="C157" t="s">
        <v>239</v>
      </c>
      <c r="D157" t="s">
        <v>192</v>
      </c>
      <c r="E157" t="b">
        <v>0</v>
      </c>
      <c r="F157" t="b">
        <v>0</v>
      </c>
      <c r="G157" t="s">
        <v>379</v>
      </c>
      <c r="H157" t="s">
        <v>202</v>
      </c>
      <c r="I157" t="s">
        <v>184</v>
      </c>
      <c r="J157" t="s">
        <v>66</v>
      </c>
    </row>
    <row r="158" spans="1:10" x14ac:dyDescent="0.2">
      <c r="A158" s="1">
        <v>155</v>
      </c>
      <c r="B158" t="s">
        <v>238</v>
      </c>
      <c r="C158" t="s">
        <v>239</v>
      </c>
      <c r="D158" t="s">
        <v>192</v>
      </c>
      <c r="E158" t="b">
        <v>0</v>
      </c>
      <c r="F158" t="b">
        <v>0</v>
      </c>
      <c r="G158" t="s">
        <v>391</v>
      </c>
      <c r="H158" t="s">
        <v>202</v>
      </c>
      <c r="I158" t="s">
        <v>155</v>
      </c>
      <c r="J158" t="s">
        <v>66</v>
      </c>
    </row>
    <row r="159" spans="1:10" x14ac:dyDescent="0.2">
      <c r="A159" s="1">
        <v>156</v>
      </c>
      <c r="B159" t="s">
        <v>238</v>
      </c>
      <c r="C159" t="s">
        <v>239</v>
      </c>
      <c r="D159" t="s">
        <v>192</v>
      </c>
      <c r="E159" t="b">
        <v>1</v>
      </c>
      <c r="F159" t="b">
        <v>0</v>
      </c>
      <c r="G159" t="s">
        <v>241</v>
      </c>
      <c r="H159" t="s">
        <v>241</v>
      </c>
      <c r="I159" t="s">
        <v>138</v>
      </c>
      <c r="J159" t="s">
        <v>66</v>
      </c>
    </row>
    <row r="160" spans="1:10" x14ac:dyDescent="0.2">
      <c r="A160" s="1">
        <v>157</v>
      </c>
      <c r="B160" t="s">
        <v>243</v>
      </c>
      <c r="C160" t="s">
        <v>242</v>
      </c>
      <c r="D160" t="s">
        <v>181</v>
      </c>
      <c r="E160" t="b">
        <v>0</v>
      </c>
      <c r="F160" t="b">
        <v>0</v>
      </c>
      <c r="G160" t="s">
        <v>383</v>
      </c>
      <c r="H160" t="s">
        <v>198</v>
      </c>
      <c r="I160" t="s">
        <v>141</v>
      </c>
      <c r="J160" t="s">
        <v>62</v>
      </c>
    </row>
    <row r="161" spans="1:11" x14ac:dyDescent="0.2">
      <c r="A161" s="1">
        <v>158</v>
      </c>
      <c r="B161" t="s">
        <v>243</v>
      </c>
      <c r="C161" t="s">
        <v>242</v>
      </c>
      <c r="D161" t="s">
        <v>181</v>
      </c>
      <c r="E161" t="b">
        <v>0</v>
      </c>
      <c r="F161" t="b">
        <v>0</v>
      </c>
      <c r="G161" t="s">
        <v>384</v>
      </c>
      <c r="H161" t="s">
        <v>126</v>
      </c>
      <c r="I161" t="s">
        <v>141</v>
      </c>
      <c r="J161" t="s">
        <v>62</v>
      </c>
    </row>
    <row r="162" spans="1:11" x14ac:dyDescent="0.2">
      <c r="A162" s="1">
        <v>159</v>
      </c>
      <c r="B162" t="s">
        <v>243</v>
      </c>
      <c r="C162" t="s">
        <v>242</v>
      </c>
      <c r="D162" t="s">
        <v>181</v>
      </c>
      <c r="E162" t="b">
        <v>1</v>
      </c>
      <c r="F162" t="b">
        <v>1</v>
      </c>
      <c r="G162" t="s">
        <v>388</v>
      </c>
      <c r="H162" t="s">
        <v>51</v>
      </c>
      <c r="I162" t="s">
        <v>139</v>
      </c>
      <c r="J162" t="s">
        <v>62</v>
      </c>
    </row>
    <row r="163" spans="1:11" x14ac:dyDescent="0.2">
      <c r="A163" s="1">
        <v>160</v>
      </c>
      <c r="B163" t="s">
        <v>244</v>
      </c>
      <c r="C163" t="s">
        <v>245</v>
      </c>
      <c r="D163" t="s">
        <v>181</v>
      </c>
      <c r="E163" t="b">
        <v>0</v>
      </c>
      <c r="F163" t="b">
        <v>0</v>
      </c>
      <c r="G163" t="s">
        <v>383</v>
      </c>
      <c r="H163" t="s">
        <v>198</v>
      </c>
      <c r="I163" t="s">
        <v>141</v>
      </c>
      <c r="J163" t="s">
        <v>62</v>
      </c>
    </row>
    <row r="164" spans="1:11" x14ac:dyDescent="0.2">
      <c r="A164" s="1">
        <v>161</v>
      </c>
      <c r="B164" t="s">
        <v>244</v>
      </c>
      <c r="C164" t="s">
        <v>245</v>
      </c>
      <c r="D164" t="s">
        <v>181</v>
      </c>
      <c r="E164" t="b">
        <v>0</v>
      </c>
      <c r="F164" t="b">
        <v>0</v>
      </c>
      <c r="G164" t="s">
        <v>384</v>
      </c>
      <c r="H164" t="s">
        <v>126</v>
      </c>
      <c r="I164" t="s">
        <v>141</v>
      </c>
      <c r="J164" t="s">
        <v>62</v>
      </c>
    </row>
    <row r="165" spans="1:11" x14ac:dyDescent="0.2">
      <c r="A165" s="1">
        <v>162</v>
      </c>
      <c r="B165" t="s">
        <v>244</v>
      </c>
      <c r="C165" t="s">
        <v>245</v>
      </c>
      <c r="D165" t="s">
        <v>181</v>
      </c>
      <c r="E165" t="b">
        <v>1</v>
      </c>
      <c r="F165" t="b">
        <v>1</v>
      </c>
      <c r="G165" t="s">
        <v>388</v>
      </c>
      <c r="H165" t="s">
        <v>51</v>
      </c>
      <c r="I165" t="s">
        <v>139</v>
      </c>
      <c r="J165" t="s">
        <v>62</v>
      </c>
    </row>
    <row r="166" spans="1:11" x14ac:dyDescent="0.2">
      <c r="A166" s="1">
        <v>163</v>
      </c>
      <c r="B166" t="s">
        <v>244</v>
      </c>
      <c r="C166" t="s">
        <v>245</v>
      </c>
      <c r="D166" t="s">
        <v>181</v>
      </c>
      <c r="E166" t="b">
        <v>1</v>
      </c>
      <c r="F166" t="b">
        <v>1</v>
      </c>
      <c r="G166" t="s">
        <v>170</v>
      </c>
      <c r="H166" t="s">
        <v>166</v>
      </c>
      <c r="I166" t="s">
        <v>138</v>
      </c>
      <c r="J166" t="s">
        <v>4</v>
      </c>
    </row>
    <row r="167" spans="1:11" x14ac:dyDescent="0.2">
      <c r="A167" s="1">
        <v>164</v>
      </c>
      <c r="B167" t="s">
        <v>246</v>
      </c>
      <c r="C167" t="s">
        <v>64</v>
      </c>
      <c r="D167" t="s">
        <v>181</v>
      </c>
      <c r="E167" t="b">
        <v>0</v>
      </c>
      <c r="F167" t="b">
        <v>0</v>
      </c>
      <c r="G167" t="s">
        <v>383</v>
      </c>
      <c r="H167" t="s">
        <v>198</v>
      </c>
      <c r="I167" t="s">
        <v>141</v>
      </c>
      <c r="J167" t="s">
        <v>62</v>
      </c>
    </row>
    <row r="168" spans="1:11" x14ac:dyDescent="0.2">
      <c r="A168" s="1">
        <v>165</v>
      </c>
      <c r="B168" t="s">
        <v>246</v>
      </c>
      <c r="C168" t="s">
        <v>64</v>
      </c>
      <c r="D168" t="s">
        <v>181</v>
      </c>
      <c r="E168" t="b">
        <v>0</v>
      </c>
      <c r="F168" t="b">
        <v>0</v>
      </c>
      <c r="G168" t="s">
        <v>384</v>
      </c>
      <c r="H168" t="s">
        <v>126</v>
      </c>
      <c r="I168" t="s">
        <v>141</v>
      </c>
      <c r="J168" t="s">
        <v>62</v>
      </c>
    </row>
    <row r="169" spans="1:11" x14ac:dyDescent="0.2">
      <c r="A169" s="1">
        <v>166</v>
      </c>
      <c r="B169" t="s">
        <v>246</v>
      </c>
      <c r="C169" t="s">
        <v>64</v>
      </c>
      <c r="D169" t="s">
        <v>181</v>
      </c>
      <c r="E169" t="b">
        <v>1</v>
      </c>
      <c r="F169" t="b">
        <v>1</v>
      </c>
      <c r="G169" t="s">
        <v>388</v>
      </c>
      <c r="H169" t="s">
        <v>51</v>
      </c>
      <c r="I169" t="s">
        <v>139</v>
      </c>
      <c r="J169" t="s">
        <v>62</v>
      </c>
    </row>
    <row r="170" spans="1:11" x14ac:dyDescent="0.2">
      <c r="A170" s="1">
        <v>167</v>
      </c>
      <c r="B170" t="s">
        <v>246</v>
      </c>
      <c r="C170" t="s">
        <v>64</v>
      </c>
      <c r="D170" t="s">
        <v>181</v>
      </c>
      <c r="E170" t="b">
        <v>1</v>
      </c>
      <c r="F170" t="b">
        <v>1</v>
      </c>
      <c r="G170" t="s">
        <v>170</v>
      </c>
      <c r="H170" t="s">
        <v>166</v>
      </c>
      <c r="I170" t="s">
        <v>138</v>
      </c>
      <c r="J170" t="s">
        <v>4</v>
      </c>
      <c r="K170" t="s">
        <v>283</v>
      </c>
    </row>
    <row r="171" spans="1:11" x14ac:dyDescent="0.2">
      <c r="A171" s="1">
        <v>168</v>
      </c>
      <c r="B171" t="s">
        <v>247</v>
      </c>
      <c r="C171" t="s">
        <v>248</v>
      </c>
      <c r="D171" t="s">
        <v>253</v>
      </c>
      <c r="E171" t="b">
        <v>1</v>
      </c>
      <c r="F171" t="b">
        <v>1</v>
      </c>
      <c r="G171" t="s">
        <v>316</v>
      </c>
      <c r="H171" t="s">
        <v>117</v>
      </c>
      <c r="I171" t="s">
        <v>138</v>
      </c>
      <c r="J171" t="s">
        <v>4</v>
      </c>
    </row>
    <row r="172" spans="1:11" x14ac:dyDescent="0.2">
      <c r="A172" s="1">
        <v>169</v>
      </c>
      <c r="B172" t="s">
        <v>247</v>
      </c>
      <c r="C172" t="s">
        <v>248</v>
      </c>
      <c r="D172" t="s">
        <v>253</v>
      </c>
      <c r="E172" t="b">
        <v>0</v>
      </c>
      <c r="F172" t="b">
        <v>0</v>
      </c>
      <c r="G172" t="s">
        <v>54</v>
      </c>
      <c r="H172" t="s">
        <v>54</v>
      </c>
      <c r="I172" t="s">
        <v>34</v>
      </c>
      <c r="J172" t="s">
        <v>66</v>
      </c>
    </row>
    <row r="173" spans="1:11" x14ac:dyDescent="0.2">
      <c r="A173" s="1">
        <v>170</v>
      </c>
      <c r="B173" t="s">
        <v>247</v>
      </c>
      <c r="C173" t="s">
        <v>248</v>
      </c>
      <c r="D173" t="s">
        <v>253</v>
      </c>
      <c r="E173" t="b">
        <v>0</v>
      </c>
      <c r="F173" t="b">
        <v>0</v>
      </c>
      <c r="G173" t="s">
        <v>54</v>
      </c>
      <c r="H173" t="s">
        <v>54</v>
      </c>
      <c r="I173" t="s">
        <v>58</v>
      </c>
      <c r="J173" t="s">
        <v>66</v>
      </c>
    </row>
    <row r="174" spans="1:11" x14ac:dyDescent="0.2">
      <c r="A174" s="1">
        <v>171</v>
      </c>
      <c r="B174" t="s">
        <v>251</v>
      </c>
      <c r="C174" t="s">
        <v>39</v>
      </c>
      <c r="D174" t="s">
        <v>253</v>
      </c>
      <c r="E174" t="b">
        <v>0</v>
      </c>
      <c r="F174" t="b">
        <v>0</v>
      </c>
      <c r="G174" t="s">
        <v>38</v>
      </c>
      <c r="H174" t="s">
        <v>38</v>
      </c>
      <c r="I174" t="s">
        <v>138</v>
      </c>
      <c r="J174" t="s">
        <v>66</v>
      </c>
      <c r="K174" t="s">
        <v>249</v>
      </c>
    </row>
    <row r="175" spans="1:11" x14ac:dyDescent="0.2">
      <c r="A175" s="1">
        <v>172</v>
      </c>
      <c r="B175" t="s">
        <v>251</v>
      </c>
      <c r="C175" t="s">
        <v>252</v>
      </c>
      <c r="D175" t="s">
        <v>253</v>
      </c>
      <c r="E175" t="b">
        <v>1</v>
      </c>
      <c r="F175" t="b">
        <v>1</v>
      </c>
      <c r="G175" t="s">
        <v>170</v>
      </c>
      <c r="H175" t="s">
        <v>85</v>
      </c>
      <c r="I175" t="s">
        <v>138</v>
      </c>
      <c r="J175" t="s">
        <v>4</v>
      </c>
    </row>
    <row r="176" spans="1:11" x14ac:dyDescent="0.2">
      <c r="A176" s="1">
        <v>173</v>
      </c>
      <c r="B176" t="s">
        <v>251</v>
      </c>
      <c r="C176" t="s">
        <v>183</v>
      </c>
      <c r="D176" t="s">
        <v>253</v>
      </c>
      <c r="E176" t="b">
        <v>1</v>
      </c>
      <c r="F176" t="b">
        <v>1</v>
      </c>
      <c r="G176" t="s">
        <v>170</v>
      </c>
      <c r="H176" t="s">
        <v>87</v>
      </c>
      <c r="I176" t="s">
        <v>138</v>
      </c>
      <c r="J176" t="s">
        <v>4</v>
      </c>
    </row>
    <row r="177" spans="1:10" x14ac:dyDescent="0.2">
      <c r="A177" s="1">
        <v>174</v>
      </c>
      <c r="B177" t="s">
        <v>251</v>
      </c>
      <c r="C177" t="s">
        <v>14</v>
      </c>
      <c r="D177" t="s">
        <v>253</v>
      </c>
      <c r="E177" t="b">
        <v>1</v>
      </c>
      <c r="F177" t="b">
        <v>1</v>
      </c>
      <c r="G177" t="s">
        <v>170</v>
      </c>
      <c r="H177" t="s">
        <v>250</v>
      </c>
      <c r="I177" t="s">
        <v>138</v>
      </c>
      <c r="J177" t="s">
        <v>4</v>
      </c>
    </row>
    <row r="178" spans="1:10" x14ac:dyDescent="0.2">
      <c r="A178" s="1">
        <v>175</v>
      </c>
      <c r="B178" t="s">
        <v>254</v>
      </c>
      <c r="C178" t="s">
        <v>255</v>
      </c>
      <c r="D178" t="s">
        <v>181</v>
      </c>
      <c r="E178" t="b">
        <v>0</v>
      </c>
      <c r="F178" t="b">
        <v>0</v>
      </c>
      <c r="G178" t="s">
        <v>384</v>
      </c>
      <c r="H178" t="s">
        <v>126</v>
      </c>
      <c r="I178" t="s">
        <v>141</v>
      </c>
      <c r="J178" t="s">
        <v>62</v>
      </c>
    </row>
    <row r="179" spans="1:10" x14ac:dyDescent="0.2">
      <c r="A179" s="1">
        <v>176</v>
      </c>
      <c r="B179" t="s">
        <v>254</v>
      </c>
      <c r="C179" t="s">
        <v>255</v>
      </c>
      <c r="D179" t="s">
        <v>181</v>
      </c>
      <c r="E179" t="b">
        <v>1</v>
      </c>
      <c r="F179" t="b">
        <v>1</v>
      </c>
      <c r="G179" t="s">
        <v>388</v>
      </c>
      <c r="H179" t="s">
        <v>51</v>
      </c>
      <c r="I179" t="s">
        <v>138</v>
      </c>
      <c r="J179" t="s">
        <v>62</v>
      </c>
    </row>
    <row r="180" spans="1:10" x14ac:dyDescent="0.2">
      <c r="A180" s="1">
        <v>177</v>
      </c>
      <c r="B180" t="s">
        <v>254</v>
      </c>
      <c r="C180" t="s">
        <v>255</v>
      </c>
      <c r="D180" t="s">
        <v>181</v>
      </c>
      <c r="E180" t="b">
        <v>1</v>
      </c>
      <c r="F180" t="b">
        <v>1</v>
      </c>
      <c r="G180" t="s">
        <v>170</v>
      </c>
      <c r="H180" t="s">
        <v>100</v>
      </c>
      <c r="I180" t="s">
        <v>138</v>
      </c>
      <c r="J180" t="s">
        <v>4</v>
      </c>
    </row>
    <row r="181" spans="1:10" x14ac:dyDescent="0.2">
      <c r="A181" s="1">
        <v>178</v>
      </c>
      <c r="B181" t="s">
        <v>254</v>
      </c>
      <c r="C181" t="s">
        <v>255</v>
      </c>
      <c r="D181" t="s">
        <v>181</v>
      </c>
      <c r="E181" t="b">
        <v>1</v>
      </c>
      <c r="F181" t="b">
        <v>1</v>
      </c>
      <c r="G181" t="s">
        <v>170</v>
      </c>
      <c r="H181" t="s">
        <v>86</v>
      </c>
      <c r="I181" t="s">
        <v>138</v>
      </c>
      <c r="J181" t="s">
        <v>4</v>
      </c>
    </row>
    <row r="182" spans="1:10" x14ac:dyDescent="0.2">
      <c r="A182" s="1">
        <v>179</v>
      </c>
      <c r="B182" t="s">
        <v>254</v>
      </c>
      <c r="C182" t="s">
        <v>255</v>
      </c>
      <c r="D182" t="s">
        <v>181</v>
      </c>
      <c r="E182" t="b">
        <v>1</v>
      </c>
      <c r="F182" t="b">
        <v>1</v>
      </c>
      <c r="G182" t="s">
        <v>170</v>
      </c>
      <c r="H182" t="s">
        <v>87</v>
      </c>
      <c r="I182" t="s">
        <v>138</v>
      </c>
      <c r="J182" t="s">
        <v>4</v>
      </c>
    </row>
    <row r="183" spans="1:10" x14ac:dyDescent="0.2">
      <c r="A183" s="1">
        <v>180</v>
      </c>
      <c r="B183" t="s">
        <v>254</v>
      </c>
      <c r="C183" t="s">
        <v>255</v>
      </c>
      <c r="D183" t="s">
        <v>181</v>
      </c>
      <c r="E183" t="b">
        <v>1</v>
      </c>
      <c r="F183" t="b">
        <v>1</v>
      </c>
      <c r="G183" t="s">
        <v>170</v>
      </c>
      <c r="H183" t="s">
        <v>166</v>
      </c>
      <c r="I183" t="s">
        <v>138</v>
      </c>
      <c r="J183" t="s">
        <v>4</v>
      </c>
    </row>
    <row r="184" spans="1:10" x14ac:dyDescent="0.2">
      <c r="A184" s="1">
        <v>181</v>
      </c>
      <c r="B184" t="s">
        <v>259</v>
      </c>
      <c r="C184" t="s">
        <v>21</v>
      </c>
      <c r="D184" t="s">
        <v>181</v>
      </c>
      <c r="E184" t="b">
        <v>0</v>
      </c>
      <c r="F184" t="b">
        <v>0</v>
      </c>
      <c r="G184" t="s">
        <v>384</v>
      </c>
      <c r="H184" t="s">
        <v>126</v>
      </c>
      <c r="I184" t="s">
        <v>141</v>
      </c>
      <c r="J184" t="s">
        <v>62</v>
      </c>
    </row>
    <row r="185" spans="1:10" x14ac:dyDescent="0.2">
      <c r="A185" s="1">
        <v>182</v>
      </c>
      <c r="B185" t="s">
        <v>259</v>
      </c>
      <c r="C185" t="s">
        <v>21</v>
      </c>
      <c r="D185" t="s">
        <v>181</v>
      </c>
      <c r="E185" t="b">
        <v>0</v>
      </c>
      <c r="F185" t="b">
        <v>0</v>
      </c>
      <c r="G185" t="s">
        <v>425</v>
      </c>
      <c r="H185" t="s">
        <v>423</v>
      </c>
      <c r="I185" t="s">
        <v>61</v>
      </c>
      <c r="J185" t="s">
        <v>66</v>
      </c>
    </row>
    <row r="186" spans="1:10" x14ac:dyDescent="0.2">
      <c r="A186" s="1">
        <v>183</v>
      </c>
      <c r="B186" t="s">
        <v>259</v>
      </c>
      <c r="C186" t="s">
        <v>21</v>
      </c>
      <c r="D186" t="s">
        <v>181</v>
      </c>
      <c r="E186" t="b">
        <v>1</v>
      </c>
      <c r="F186" t="b">
        <v>0</v>
      </c>
      <c r="G186" t="s">
        <v>55</v>
      </c>
      <c r="H186" t="s">
        <v>429</v>
      </c>
      <c r="I186" t="s">
        <v>138</v>
      </c>
      <c r="J186" t="s">
        <v>62</v>
      </c>
    </row>
    <row r="187" spans="1:10" x14ac:dyDescent="0.2">
      <c r="A187" s="1">
        <v>184</v>
      </c>
      <c r="B187" t="s">
        <v>259</v>
      </c>
      <c r="C187" t="s">
        <v>21</v>
      </c>
      <c r="D187" t="s">
        <v>181</v>
      </c>
      <c r="E187" t="b">
        <v>0</v>
      </c>
      <c r="F187" t="b">
        <v>0</v>
      </c>
      <c r="G187" t="s">
        <v>392</v>
      </c>
      <c r="H187" t="s">
        <v>256</v>
      </c>
      <c r="I187" t="s">
        <v>139</v>
      </c>
      <c r="J187" t="s">
        <v>66</v>
      </c>
    </row>
    <row r="188" spans="1:10" x14ac:dyDescent="0.2">
      <c r="A188" s="1">
        <v>185</v>
      </c>
      <c r="B188" t="s">
        <v>259</v>
      </c>
      <c r="C188" t="s">
        <v>21</v>
      </c>
      <c r="D188" t="s">
        <v>181</v>
      </c>
      <c r="E188" t="b">
        <v>0</v>
      </c>
      <c r="F188" t="b">
        <v>0</v>
      </c>
      <c r="G188" t="s">
        <v>257</v>
      </c>
      <c r="H188" t="s">
        <v>257</v>
      </c>
      <c r="I188" t="s">
        <v>138</v>
      </c>
      <c r="J188" t="s">
        <v>66</v>
      </c>
    </row>
    <row r="189" spans="1:10" x14ac:dyDescent="0.2">
      <c r="A189" s="1">
        <v>186</v>
      </c>
      <c r="B189" t="s">
        <v>259</v>
      </c>
      <c r="C189" t="s">
        <v>21</v>
      </c>
      <c r="D189" t="s">
        <v>181</v>
      </c>
      <c r="E189" t="b">
        <v>0</v>
      </c>
      <c r="F189" t="b">
        <v>1</v>
      </c>
      <c r="G189" t="s">
        <v>136</v>
      </c>
      <c r="H189" t="s">
        <v>258</v>
      </c>
      <c r="I189" t="s">
        <v>138</v>
      </c>
      <c r="J189" t="s">
        <v>66</v>
      </c>
    </row>
    <row r="190" spans="1:10" x14ac:dyDescent="0.2">
      <c r="A190" s="1">
        <v>187</v>
      </c>
      <c r="B190" t="s">
        <v>260</v>
      </c>
      <c r="C190" t="s">
        <v>255</v>
      </c>
      <c r="D190" t="s">
        <v>181</v>
      </c>
      <c r="E190" t="b">
        <v>1</v>
      </c>
      <c r="F190" t="b">
        <v>0</v>
      </c>
      <c r="G190" t="s">
        <v>55</v>
      </c>
      <c r="H190" t="s">
        <v>55</v>
      </c>
      <c r="I190" t="s">
        <v>138</v>
      </c>
      <c r="J190" t="s">
        <v>62</v>
      </c>
    </row>
    <row r="191" spans="1:10" x14ac:dyDescent="0.2">
      <c r="A191" s="1">
        <v>188</v>
      </c>
      <c r="B191" t="s">
        <v>260</v>
      </c>
      <c r="C191" t="s">
        <v>255</v>
      </c>
      <c r="D191" t="s">
        <v>181</v>
      </c>
      <c r="E191" t="b">
        <v>0</v>
      </c>
      <c r="F191" t="b">
        <v>0</v>
      </c>
      <c r="G191" t="s">
        <v>236</v>
      </c>
      <c r="H191" t="s">
        <v>22</v>
      </c>
      <c r="I191" t="s">
        <v>138</v>
      </c>
      <c r="J191" t="s">
        <v>66</v>
      </c>
    </row>
    <row r="192" spans="1:10" x14ac:dyDescent="0.2">
      <c r="A192" s="1">
        <v>189</v>
      </c>
      <c r="B192" t="s">
        <v>260</v>
      </c>
      <c r="C192" t="s">
        <v>255</v>
      </c>
      <c r="D192" t="s">
        <v>181</v>
      </c>
      <c r="E192" t="b">
        <v>0</v>
      </c>
      <c r="F192" t="b">
        <v>0</v>
      </c>
      <c r="G192" t="s">
        <v>235</v>
      </c>
      <c r="H192" t="s">
        <v>23</v>
      </c>
      <c r="I192" t="s">
        <v>138</v>
      </c>
      <c r="J192" t="s">
        <v>66</v>
      </c>
    </row>
    <row r="193" spans="1:11" x14ac:dyDescent="0.2">
      <c r="A193" s="1">
        <v>190</v>
      </c>
      <c r="B193" t="s">
        <v>260</v>
      </c>
      <c r="C193" t="s">
        <v>255</v>
      </c>
      <c r="D193" t="s">
        <v>181</v>
      </c>
      <c r="E193" t="b">
        <v>0</v>
      </c>
      <c r="F193" t="b">
        <v>0</v>
      </c>
      <c r="G193" t="s">
        <v>20</v>
      </c>
      <c r="H193" t="s">
        <v>20</v>
      </c>
      <c r="I193" t="s">
        <v>139</v>
      </c>
      <c r="J193" t="s">
        <v>66</v>
      </c>
    </row>
    <row r="194" spans="1:11" x14ac:dyDescent="0.2">
      <c r="A194" s="1">
        <v>191</v>
      </c>
      <c r="B194" t="s">
        <v>260</v>
      </c>
      <c r="C194" t="s">
        <v>255</v>
      </c>
      <c r="D194" t="s">
        <v>181</v>
      </c>
      <c r="E194" t="b">
        <v>0</v>
      </c>
      <c r="F194" t="b">
        <v>0</v>
      </c>
      <c r="G194" t="s">
        <v>384</v>
      </c>
      <c r="H194" t="s">
        <v>126</v>
      </c>
      <c r="I194" t="s">
        <v>141</v>
      </c>
      <c r="J194" t="s">
        <v>62</v>
      </c>
    </row>
    <row r="195" spans="1:11" x14ac:dyDescent="0.2">
      <c r="A195" s="1">
        <v>192</v>
      </c>
      <c r="B195" t="s">
        <v>263</v>
      </c>
      <c r="C195" t="s">
        <v>31</v>
      </c>
      <c r="D195" t="s">
        <v>181</v>
      </c>
      <c r="E195" t="b">
        <v>0</v>
      </c>
      <c r="F195" t="b">
        <v>0</v>
      </c>
      <c r="G195" t="s">
        <v>426</v>
      </c>
      <c r="H195" t="s">
        <v>424</v>
      </c>
      <c r="I195" t="s">
        <v>61</v>
      </c>
      <c r="J195" t="s">
        <v>66</v>
      </c>
    </row>
    <row r="196" spans="1:11" x14ac:dyDescent="0.2">
      <c r="A196" s="1">
        <v>193</v>
      </c>
      <c r="B196" t="s">
        <v>263</v>
      </c>
      <c r="C196" t="s">
        <v>31</v>
      </c>
      <c r="D196" t="s">
        <v>181</v>
      </c>
      <c r="E196" t="b">
        <v>1</v>
      </c>
      <c r="F196" t="b">
        <v>1</v>
      </c>
      <c r="G196" t="s">
        <v>170</v>
      </c>
      <c r="H196" t="s">
        <v>87</v>
      </c>
      <c r="I196" t="s">
        <v>138</v>
      </c>
      <c r="J196" t="s">
        <v>4</v>
      </c>
      <c r="K196" t="s">
        <v>262</v>
      </c>
    </row>
    <row r="197" spans="1:11" x14ac:dyDescent="0.2">
      <c r="A197" s="1">
        <v>194</v>
      </c>
      <c r="B197" t="s">
        <v>263</v>
      </c>
      <c r="C197" t="s">
        <v>31</v>
      </c>
      <c r="D197" t="s">
        <v>181</v>
      </c>
      <c r="E197" t="b">
        <v>1</v>
      </c>
      <c r="F197" t="b">
        <v>1</v>
      </c>
      <c r="G197" t="s">
        <v>170</v>
      </c>
      <c r="H197" t="s">
        <v>84</v>
      </c>
      <c r="I197" t="s">
        <v>138</v>
      </c>
      <c r="J197" t="s">
        <v>4</v>
      </c>
    </row>
    <row r="198" spans="1:11" x14ac:dyDescent="0.2">
      <c r="A198" s="1">
        <v>195</v>
      </c>
      <c r="B198" t="s">
        <v>263</v>
      </c>
      <c r="C198" t="s">
        <v>31</v>
      </c>
      <c r="D198" t="s">
        <v>181</v>
      </c>
      <c r="E198" t="b">
        <v>1</v>
      </c>
      <c r="F198" t="b">
        <v>1</v>
      </c>
      <c r="G198" t="s">
        <v>170</v>
      </c>
      <c r="H198" t="s">
        <v>261</v>
      </c>
      <c r="I198" t="s">
        <v>138</v>
      </c>
      <c r="J198" t="s">
        <v>4</v>
      </c>
    </row>
    <row r="199" spans="1:11" x14ac:dyDescent="0.2">
      <c r="A199" s="1">
        <v>196</v>
      </c>
      <c r="B199" t="s">
        <v>264</v>
      </c>
      <c r="C199" t="s">
        <v>265</v>
      </c>
      <c r="D199" t="s">
        <v>192</v>
      </c>
      <c r="E199" t="b">
        <v>0</v>
      </c>
      <c r="F199" t="b">
        <v>0</v>
      </c>
      <c r="G199" t="s">
        <v>20</v>
      </c>
      <c r="H199" t="s">
        <v>20</v>
      </c>
      <c r="I199" t="s">
        <v>139</v>
      </c>
      <c r="J199" t="s">
        <v>66</v>
      </c>
    </row>
    <row r="200" spans="1:11" x14ac:dyDescent="0.2">
      <c r="A200" s="1">
        <v>197</v>
      </c>
      <c r="B200" t="s">
        <v>264</v>
      </c>
      <c r="C200" t="s">
        <v>265</v>
      </c>
      <c r="D200" t="s">
        <v>192</v>
      </c>
      <c r="E200" t="b">
        <v>0</v>
      </c>
      <c r="F200" t="b">
        <v>0</v>
      </c>
      <c r="G200" t="s">
        <v>32</v>
      </c>
      <c r="H200" t="s">
        <v>32</v>
      </c>
      <c r="I200" t="s">
        <v>138</v>
      </c>
      <c r="J200" t="s">
        <v>62</v>
      </c>
    </row>
    <row r="201" spans="1:11" x14ac:dyDescent="0.2">
      <c r="A201" s="1">
        <v>198</v>
      </c>
      <c r="B201" t="s">
        <v>264</v>
      </c>
      <c r="C201" t="s">
        <v>265</v>
      </c>
      <c r="D201" t="s">
        <v>192</v>
      </c>
      <c r="E201" t="b">
        <v>0</v>
      </c>
      <c r="F201" t="b">
        <v>0</v>
      </c>
      <c r="G201" t="s">
        <v>426</v>
      </c>
      <c r="H201" t="s">
        <v>424</v>
      </c>
      <c r="I201" t="s">
        <v>61</v>
      </c>
      <c r="J201" t="s">
        <v>66</v>
      </c>
    </row>
    <row r="202" spans="1:11" x14ac:dyDescent="0.2">
      <c r="A202" s="1">
        <v>199</v>
      </c>
      <c r="B202" t="s">
        <v>264</v>
      </c>
      <c r="C202" t="s">
        <v>265</v>
      </c>
      <c r="D202" t="s">
        <v>192</v>
      </c>
      <c r="E202" t="b">
        <v>0</v>
      </c>
      <c r="F202" t="b">
        <v>0</v>
      </c>
      <c r="G202" t="s">
        <v>382</v>
      </c>
      <c r="H202" t="s">
        <v>33</v>
      </c>
      <c r="I202" t="s">
        <v>139</v>
      </c>
      <c r="J202" t="s">
        <v>62</v>
      </c>
    </row>
    <row r="203" spans="1:11" x14ac:dyDescent="0.2">
      <c r="A203" s="1">
        <v>200</v>
      </c>
      <c r="B203" t="s">
        <v>266</v>
      </c>
      <c r="C203" t="s">
        <v>267</v>
      </c>
      <c r="D203" t="s">
        <v>192</v>
      </c>
      <c r="E203" t="b">
        <v>0</v>
      </c>
      <c r="F203" t="b">
        <v>0</v>
      </c>
      <c r="G203" t="s">
        <v>373</v>
      </c>
      <c r="H203" t="s">
        <v>63</v>
      </c>
      <c r="I203" t="s">
        <v>139</v>
      </c>
      <c r="J203" t="s">
        <v>66</v>
      </c>
    </row>
    <row r="204" spans="1:11" x14ac:dyDescent="0.2">
      <c r="A204" s="1">
        <v>201</v>
      </c>
      <c r="B204" t="s">
        <v>266</v>
      </c>
      <c r="C204" t="s">
        <v>267</v>
      </c>
      <c r="D204" t="s">
        <v>192</v>
      </c>
      <c r="E204" t="b">
        <v>0</v>
      </c>
      <c r="F204" t="b">
        <v>0</v>
      </c>
      <c r="G204" t="s">
        <v>425</v>
      </c>
      <c r="H204" t="s">
        <v>423</v>
      </c>
      <c r="I204" t="s">
        <v>61</v>
      </c>
      <c r="J204" t="s">
        <v>66</v>
      </c>
    </row>
    <row r="205" spans="1:11" x14ac:dyDescent="0.2">
      <c r="A205" s="1">
        <v>202</v>
      </c>
      <c r="B205" t="s">
        <v>266</v>
      </c>
      <c r="C205" t="s">
        <v>267</v>
      </c>
      <c r="D205" t="s">
        <v>192</v>
      </c>
      <c r="E205" t="b">
        <v>0</v>
      </c>
      <c r="F205" t="b">
        <v>0</v>
      </c>
      <c r="G205" t="s">
        <v>382</v>
      </c>
      <c r="H205" t="s">
        <v>33</v>
      </c>
      <c r="I205" t="s">
        <v>139</v>
      </c>
      <c r="J205" t="s">
        <v>62</v>
      </c>
    </row>
    <row r="206" spans="1:11" x14ac:dyDescent="0.2">
      <c r="A206" s="1">
        <v>203</v>
      </c>
      <c r="B206" t="s">
        <v>266</v>
      </c>
      <c r="C206" t="s">
        <v>267</v>
      </c>
      <c r="D206" t="s">
        <v>192</v>
      </c>
      <c r="E206" t="b">
        <v>1</v>
      </c>
      <c r="F206" t="b">
        <v>1</v>
      </c>
      <c r="G206" t="s">
        <v>170</v>
      </c>
      <c r="H206" t="s">
        <v>268</v>
      </c>
      <c r="I206" t="s">
        <v>138</v>
      </c>
      <c r="J206" t="s">
        <v>4</v>
      </c>
    </row>
    <row r="207" spans="1:11" x14ac:dyDescent="0.2">
      <c r="A207" s="1">
        <v>204</v>
      </c>
      <c r="B207" t="s">
        <v>269</v>
      </c>
      <c r="C207" t="s">
        <v>270</v>
      </c>
      <c r="D207" t="s">
        <v>192</v>
      </c>
      <c r="E207" t="b">
        <v>1</v>
      </c>
      <c r="F207" t="b">
        <v>1</v>
      </c>
      <c r="G207" t="s">
        <v>388</v>
      </c>
      <c r="H207" t="s">
        <v>51</v>
      </c>
      <c r="I207" t="s">
        <v>138</v>
      </c>
      <c r="J207" t="s">
        <v>62</v>
      </c>
    </row>
    <row r="208" spans="1:11" x14ac:dyDescent="0.2">
      <c r="A208" s="1">
        <v>205</v>
      </c>
      <c r="B208" t="s">
        <v>269</v>
      </c>
      <c r="C208" t="s">
        <v>270</v>
      </c>
      <c r="D208" t="s">
        <v>192</v>
      </c>
      <c r="E208" t="b">
        <v>1</v>
      </c>
      <c r="F208" t="b">
        <v>1</v>
      </c>
      <c r="G208" t="s">
        <v>170</v>
      </c>
      <c r="H208" t="s">
        <v>166</v>
      </c>
      <c r="I208" t="s">
        <v>138</v>
      </c>
      <c r="J208" t="s">
        <v>4</v>
      </c>
    </row>
    <row r="209" spans="1:10" x14ac:dyDescent="0.2">
      <c r="A209" s="1">
        <v>206</v>
      </c>
      <c r="B209" t="s">
        <v>269</v>
      </c>
      <c r="C209" t="s">
        <v>270</v>
      </c>
      <c r="D209" t="s">
        <v>192</v>
      </c>
      <c r="E209" t="b">
        <v>1</v>
      </c>
      <c r="F209" t="b">
        <v>1</v>
      </c>
      <c r="G209" t="s">
        <v>170</v>
      </c>
      <c r="H209" t="s">
        <v>84</v>
      </c>
      <c r="I209" t="s">
        <v>138</v>
      </c>
      <c r="J209" t="s">
        <v>4</v>
      </c>
    </row>
    <row r="210" spans="1:10" x14ac:dyDescent="0.2">
      <c r="A210" s="1">
        <v>207</v>
      </c>
      <c r="B210" t="s">
        <v>269</v>
      </c>
      <c r="C210" t="s">
        <v>270</v>
      </c>
      <c r="D210" t="s">
        <v>192</v>
      </c>
      <c r="E210" t="b">
        <v>0</v>
      </c>
      <c r="F210" t="b">
        <v>0</v>
      </c>
      <c r="G210" t="s">
        <v>384</v>
      </c>
      <c r="H210" t="s">
        <v>126</v>
      </c>
      <c r="I210" t="s">
        <v>141</v>
      </c>
      <c r="J210" t="s">
        <v>62</v>
      </c>
    </row>
    <row r="211" spans="1:10" x14ac:dyDescent="0.2">
      <c r="A211" s="1">
        <v>208</v>
      </c>
      <c r="B211" t="s">
        <v>269</v>
      </c>
      <c r="C211" t="s">
        <v>270</v>
      </c>
      <c r="D211" t="s">
        <v>192</v>
      </c>
      <c r="E211" t="b">
        <v>0</v>
      </c>
      <c r="F211" t="b">
        <v>0</v>
      </c>
      <c r="G211" t="s">
        <v>383</v>
      </c>
      <c r="H211" t="s">
        <v>198</v>
      </c>
      <c r="I211" t="s">
        <v>141</v>
      </c>
      <c r="J211" t="s">
        <v>62</v>
      </c>
    </row>
    <row r="212" spans="1:10" x14ac:dyDescent="0.2">
      <c r="A212" s="1">
        <v>209</v>
      </c>
      <c r="B212" t="s">
        <v>269</v>
      </c>
      <c r="C212" t="s">
        <v>270</v>
      </c>
      <c r="D212" t="s">
        <v>192</v>
      </c>
      <c r="E212" t="b">
        <v>0</v>
      </c>
      <c r="F212" t="b">
        <v>0</v>
      </c>
      <c r="G212" t="s">
        <v>201</v>
      </c>
      <c r="H212" t="s">
        <v>201</v>
      </c>
      <c r="I212" t="s">
        <v>141</v>
      </c>
      <c r="J212" t="s">
        <v>66</v>
      </c>
    </row>
    <row r="213" spans="1:10" x14ac:dyDescent="0.2">
      <c r="A213" s="1">
        <v>210</v>
      </c>
      <c r="B213" t="s">
        <v>271</v>
      </c>
      <c r="C213" t="s">
        <v>272</v>
      </c>
      <c r="D213" t="s">
        <v>192</v>
      </c>
      <c r="E213" t="b">
        <v>0</v>
      </c>
      <c r="F213" t="b">
        <v>0</v>
      </c>
      <c r="G213" t="s">
        <v>54</v>
      </c>
      <c r="H213" t="s">
        <v>54</v>
      </c>
      <c r="I213" t="s">
        <v>58</v>
      </c>
      <c r="J213" t="s">
        <v>66</v>
      </c>
    </row>
    <row r="214" spans="1:10" x14ac:dyDescent="0.2">
      <c r="A214" s="1">
        <v>211</v>
      </c>
      <c r="B214" t="s">
        <v>271</v>
      </c>
      <c r="C214" t="s">
        <v>272</v>
      </c>
      <c r="D214" t="s">
        <v>192</v>
      </c>
      <c r="E214" t="b">
        <v>0</v>
      </c>
      <c r="F214" t="b">
        <v>0</v>
      </c>
      <c r="G214" t="s">
        <v>367</v>
      </c>
      <c r="H214" t="s">
        <v>53</v>
      </c>
      <c r="I214" t="s">
        <v>58</v>
      </c>
      <c r="J214" t="s">
        <v>62</v>
      </c>
    </row>
    <row r="215" spans="1:10" x14ac:dyDescent="0.2">
      <c r="A215" s="1">
        <v>212</v>
      </c>
      <c r="B215" t="s">
        <v>271</v>
      </c>
      <c r="C215" t="s">
        <v>272</v>
      </c>
      <c r="D215" t="s">
        <v>192</v>
      </c>
      <c r="E215" t="b">
        <v>1</v>
      </c>
      <c r="F215" t="b">
        <v>0</v>
      </c>
      <c r="G215" t="s">
        <v>385</v>
      </c>
      <c r="H215" t="s">
        <v>202</v>
      </c>
      <c r="I215" t="s">
        <v>58</v>
      </c>
      <c r="J215" t="s">
        <v>62</v>
      </c>
    </row>
    <row r="216" spans="1:10" x14ac:dyDescent="0.2">
      <c r="A216" s="1">
        <v>213</v>
      </c>
      <c r="B216" t="s">
        <v>271</v>
      </c>
      <c r="C216" t="s">
        <v>272</v>
      </c>
      <c r="D216" t="s">
        <v>192</v>
      </c>
      <c r="E216" t="b">
        <v>0</v>
      </c>
      <c r="F216" t="b">
        <v>0</v>
      </c>
      <c r="G216" t="s">
        <v>379</v>
      </c>
      <c r="H216" t="s">
        <v>202</v>
      </c>
      <c r="I216" t="s">
        <v>184</v>
      </c>
      <c r="J216" t="s">
        <v>66</v>
      </c>
    </row>
    <row r="217" spans="1:10" x14ac:dyDescent="0.2">
      <c r="A217" s="1">
        <v>214</v>
      </c>
      <c r="B217" t="s">
        <v>271</v>
      </c>
      <c r="C217" t="s">
        <v>272</v>
      </c>
      <c r="D217" t="s">
        <v>192</v>
      </c>
      <c r="E217" t="b">
        <v>0</v>
      </c>
      <c r="F217" t="b">
        <v>0</v>
      </c>
      <c r="G217" t="s">
        <v>384</v>
      </c>
      <c r="H217" t="s">
        <v>126</v>
      </c>
      <c r="I217" t="s">
        <v>141</v>
      </c>
      <c r="J217" t="s">
        <v>62</v>
      </c>
    </row>
    <row r="218" spans="1:10" x14ac:dyDescent="0.2">
      <c r="A218" s="1">
        <v>215</v>
      </c>
      <c r="B218" t="s">
        <v>271</v>
      </c>
      <c r="C218" t="s">
        <v>272</v>
      </c>
      <c r="D218" t="s">
        <v>192</v>
      </c>
      <c r="E218" t="b">
        <v>0</v>
      </c>
      <c r="F218" t="b">
        <v>0</v>
      </c>
      <c r="G218" t="s">
        <v>383</v>
      </c>
      <c r="H218" t="s">
        <v>198</v>
      </c>
      <c r="I218" t="s">
        <v>141</v>
      </c>
      <c r="J218" t="s">
        <v>62</v>
      </c>
    </row>
    <row r="219" spans="1:10" x14ac:dyDescent="0.2">
      <c r="A219" s="1">
        <v>216</v>
      </c>
      <c r="B219" t="s">
        <v>276</v>
      </c>
      <c r="C219" t="s">
        <v>18</v>
      </c>
      <c r="D219" t="s">
        <v>181</v>
      </c>
      <c r="E219" t="b">
        <v>0</v>
      </c>
      <c r="F219" t="b">
        <v>0</v>
      </c>
      <c r="G219" t="s">
        <v>384</v>
      </c>
      <c r="H219" t="s">
        <v>126</v>
      </c>
      <c r="I219" t="s">
        <v>141</v>
      </c>
      <c r="J219" t="s">
        <v>62</v>
      </c>
    </row>
    <row r="220" spans="1:10" x14ac:dyDescent="0.2">
      <c r="A220" s="1">
        <v>217</v>
      </c>
      <c r="B220" t="s">
        <v>276</v>
      </c>
      <c r="C220" t="s">
        <v>18</v>
      </c>
      <c r="D220" t="s">
        <v>181</v>
      </c>
      <c r="E220" t="b">
        <v>0</v>
      </c>
      <c r="F220" t="b">
        <v>0</v>
      </c>
      <c r="G220" t="s">
        <v>383</v>
      </c>
      <c r="H220" t="s">
        <v>198</v>
      </c>
      <c r="I220" t="s">
        <v>141</v>
      </c>
      <c r="J220" t="s">
        <v>62</v>
      </c>
    </row>
    <row r="221" spans="1:10" x14ac:dyDescent="0.2">
      <c r="A221" s="1">
        <v>218</v>
      </c>
      <c r="B221" t="s">
        <v>276</v>
      </c>
      <c r="C221" t="s">
        <v>18</v>
      </c>
      <c r="D221" t="s">
        <v>181</v>
      </c>
      <c r="E221" t="b">
        <v>1</v>
      </c>
      <c r="F221" t="b">
        <v>1</v>
      </c>
      <c r="G221" t="s">
        <v>170</v>
      </c>
      <c r="H221" t="s">
        <v>166</v>
      </c>
      <c r="I221" t="s">
        <v>138</v>
      </c>
      <c r="J221" t="s">
        <v>4</v>
      </c>
    </row>
    <row r="222" spans="1:10" x14ac:dyDescent="0.2">
      <c r="A222" s="1">
        <v>219</v>
      </c>
      <c r="B222" t="s">
        <v>276</v>
      </c>
      <c r="C222" t="s">
        <v>18</v>
      </c>
      <c r="D222" t="s">
        <v>181</v>
      </c>
      <c r="E222" t="b">
        <v>1</v>
      </c>
      <c r="F222" t="b">
        <v>1</v>
      </c>
      <c r="G222" t="s">
        <v>212</v>
      </c>
      <c r="H222" t="s">
        <v>273</v>
      </c>
      <c r="I222" t="s">
        <v>138</v>
      </c>
      <c r="J222" t="s">
        <v>4</v>
      </c>
    </row>
    <row r="223" spans="1:10" x14ac:dyDescent="0.2">
      <c r="A223" s="1">
        <v>220</v>
      </c>
      <c r="B223" t="s">
        <v>276</v>
      </c>
      <c r="C223" t="s">
        <v>18</v>
      </c>
      <c r="D223" t="s">
        <v>181</v>
      </c>
      <c r="E223" t="b">
        <v>1</v>
      </c>
      <c r="F223" t="b">
        <v>1</v>
      </c>
      <c r="G223" t="s">
        <v>170</v>
      </c>
      <c r="H223" t="s">
        <v>274</v>
      </c>
      <c r="I223" t="s">
        <v>138</v>
      </c>
      <c r="J223" t="s">
        <v>4</v>
      </c>
    </row>
    <row r="224" spans="1:10" x14ac:dyDescent="0.2">
      <c r="A224" s="1">
        <v>221</v>
      </c>
      <c r="B224" t="s">
        <v>276</v>
      </c>
      <c r="C224" t="s">
        <v>18</v>
      </c>
      <c r="D224" t="s">
        <v>181</v>
      </c>
      <c r="E224" t="b">
        <v>1</v>
      </c>
      <c r="F224" t="b">
        <v>1</v>
      </c>
      <c r="G224" t="s">
        <v>212</v>
      </c>
      <c r="H224" t="s">
        <v>275</v>
      </c>
      <c r="I224" t="s">
        <v>138</v>
      </c>
      <c r="J224" t="s">
        <v>4</v>
      </c>
    </row>
    <row r="225" spans="1:11" x14ac:dyDescent="0.2">
      <c r="A225" s="1">
        <v>222</v>
      </c>
      <c r="B225" t="s">
        <v>276</v>
      </c>
      <c r="C225" t="s">
        <v>18</v>
      </c>
      <c r="D225" t="s">
        <v>181</v>
      </c>
      <c r="E225" t="b">
        <v>0</v>
      </c>
      <c r="F225" t="b">
        <v>0</v>
      </c>
      <c r="G225" t="s">
        <v>19</v>
      </c>
      <c r="H225" t="s">
        <v>19</v>
      </c>
      <c r="I225" t="s">
        <v>138</v>
      </c>
      <c r="J225" t="s">
        <v>17</v>
      </c>
    </row>
    <row r="226" spans="1:11" x14ac:dyDescent="0.2">
      <c r="A226" s="1">
        <v>223</v>
      </c>
      <c r="B226" t="s">
        <v>276</v>
      </c>
      <c r="C226" t="s">
        <v>18</v>
      </c>
      <c r="D226" t="s">
        <v>181</v>
      </c>
      <c r="E226" t="b">
        <v>1</v>
      </c>
      <c r="F226" t="b">
        <v>1</v>
      </c>
      <c r="G226" t="s">
        <v>388</v>
      </c>
      <c r="H226" t="s">
        <v>51</v>
      </c>
      <c r="I226" t="s">
        <v>139</v>
      </c>
      <c r="J226" t="s">
        <v>62</v>
      </c>
    </row>
    <row r="227" spans="1:11" x14ac:dyDescent="0.2">
      <c r="A227" s="1">
        <v>224</v>
      </c>
      <c r="B227" t="s">
        <v>276</v>
      </c>
      <c r="C227" t="s">
        <v>18</v>
      </c>
      <c r="D227" t="s">
        <v>181</v>
      </c>
      <c r="E227" t="b">
        <v>1</v>
      </c>
      <c r="F227" t="b">
        <v>1</v>
      </c>
      <c r="G227" t="s">
        <v>170</v>
      </c>
      <c r="H227" t="s">
        <v>166</v>
      </c>
      <c r="I227" t="s">
        <v>138</v>
      </c>
      <c r="J227" t="s">
        <v>4</v>
      </c>
      <c r="K227" t="s">
        <v>283</v>
      </c>
    </row>
    <row r="228" spans="1:11" x14ac:dyDescent="0.2">
      <c r="A228" s="1">
        <v>225</v>
      </c>
      <c r="B228" t="s">
        <v>276</v>
      </c>
      <c r="C228" t="s">
        <v>18</v>
      </c>
      <c r="D228" t="s">
        <v>181</v>
      </c>
      <c r="E228" t="b">
        <v>0</v>
      </c>
      <c r="F228" t="b">
        <v>0</v>
      </c>
      <c r="G228" t="s">
        <v>20</v>
      </c>
      <c r="H228" t="s">
        <v>20</v>
      </c>
      <c r="I228" t="s">
        <v>139</v>
      </c>
      <c r="J228" t="s">
        <v>66</v>
      </c>
    </row>
    <row r="229" spans="1:11" x14ac:dyDescent="0.2">
      <c r="A229" s="1">
        <v>226</v>
      </c>
      <c r="B229" t="s">
        <v>281</v>
      </c>
      <c r="C229" t="s">
        <v>282</v>
      </c>
      <c r="D229" t="s">
        <v>76</v>
      </c>
      <c r="E229" t="b">
        <v>1</v>
      </c>
      <c r="F229" t="b">
        <v>1</v>
      </c>
      <c r="G229" t="s">
        <v>41</v>
      </c>
      <c r="H229" t="s">
        <v>41</v>
      </c>
      <c r="I229" t="s">
        <v>139</v>
      </c>
      <c r="J229" t="s">
        <v>66</v>
      </c>
    </row>
    <row r="230" spans="1:11" x14ac:dyDescent="0.2">
      <c r="A230" s="1">
        <v>227</v>
      </c>
      <c r="B230" t="s">
        <v>281</v>
      </c>
      <c r="C230" t="s">
        <v>282</v>
      </c>
      <c r="D230" t="s">
        <v>76</v>
      </c>
      <c r="E230" t="b">
        <v>1</v>
      </c>
      <c r="F230" t="b">
        <v>1</v>
      </c>
      <c r="G230" t="s">
        <v>277</v>
      </c>
      <c r="H230" t="s">
        <v>277</v>
      </c>
      <c r="I230" t="s">
        <v>139</v>
      </c>
      <c r="J230" t="s">
        <v>66</v>
      </c>
    </row>
    <row r="231" spans="1:11" x14ac:dyDescent="0.2">
      <c r="A231" s="1">
        <v>228</v>
      </c>
      <c r="B231" t="s">
        <v>281</v>
      </c>
      <c r="C231" t="s">
        <v>282</v>
      </c>
      <c r="D231" t="s">
        <v>76</v>
      </c>
      <c r="E231" t="b">
        <v>1</v>
      </c>
      <c r="F231" t="b">
        <v>1</v>
      </c>
      <c r="G231" t="s">
        <v>278</v>
      </c>
      <c r="H231" t="s">
        <v>278</v>
      </c>
      <c r="I231" t="s">
        <v>138</v>
      </c>
      <c r="J231" t="s">
        <v>66</v>
      </c>
    </row>
    <row r="232" spans="1:11" x14ac:dyDescent="0.2">
      <c r="A232" s="1">
        <v>229</v>
      </c>
      <c r="B232" t="s">
        <v>281</v>
      </c>
      <c r="C232" t="s">
        <v>282</v>
      </c>
      <c r="D232" t="s">
        <v>76</v>
      </c>
      <c r="E232" t="b">
        <v>1</v>
      </c>
      <c r="F232" t="b">
        <v>1</v>
      </c>
      <c r="G232" t="s">
        <v>403</v>
      </c>
      <c r="H232" t="s">
        <v>279</v>
      </c>
      <c r="I232" t="s">
        <v>34</v>
      </c>
      <c r="J232" t="s">
        <v>66</v>
      </c>
    </row>
    <row r="233" spans="1:11" x14ac:dyDescent="0.2">
      <c r="A233" s="1">
        <v>230</v>
      </c>
      <c r="B233" t="s">
        <v>281</v>
      </c>
      <c r="C233" t="s">
        <v>282</v>
      </c>
      <c r="D233" t="s">
        <v>76</v>
      </c>
      <c r="E233" t="b">
        <v>1</v>
      </c>
      <c r="F233" t="b">
        <v>1</v>
      </c>
      <c r="G233" t="s">
        <v>403</v>
      </c>
      <c r="H233" t="s">
        <v>279</v>
      </c>
      <c r="I233" t="s">
        <v>280</v>
      </c>
      <c r="J233" t="s">
        <v>66</v>
      </c>
    </row>
    <row r="234" spans="1:11" x14ac:dyDescent="0.2">
      <c r="A234" s="1">
        <v>231</v>
      </c>
      <c r="B234" t="s">
        <v>284</v>
      </c>
      <c r="C234" t="s">
        <v>285</v>
      </c>
      <c r="D234" t="s">
        <v>76</v>
      </c>
      <c r="E234" t="b">
        <v>1</v>
      </c>
      <c r="F234" t="b">
        <v>1</v>
      </c>
      <c r="G234" t="s">
        <v>388</v>
      </c>
      <c r="H234" t="s">
        <v>51</v>
      </c>
      <c r="I234" t="s">
        <v>139</v>
      </c>
      <c r="J234" t="s">
        <v>62</v>
      </c>
    </row>
    <row r="235" spans="1:11" x14ac:dyDescent="0.2">
      <c r="A235" s="1">
        <v>232</v>
      </c>
      <c r="B235" t="s">
        <v>284</v>
      </c>
      <c r="C235" t="s">
        <v>285</v>
      </c>
      <c r="D235" t="s">
        <v>76</v>
      </c>
      <c r="E235" t="b">
        <v>1</v>
      </c>
      <c r="F235" t="b">
        <v>1</v>
      </c>
      <c r="G235" t="s">
        <v>170</v>
      </c>
      <c r="H235" t="s">
        <v>166</v>
      </c>
      <c r="I235" t="s">
        <v>138</v>
      </c>
      <c r="J235" t="s">
        <v>4</v>
      </c>
      <c r="K235" t="s">
        <v>283</v>
      </c>
    </row>
    <row r="236" spans="1:11" x14ac:dyDescent="0.2">
      <c r="A236" s="1">
        <v>233</v>
      </c>
      <c r="B236" t="s">
        <v>284</v>
      </c>
      <c r="C236" t="s">
        <v>285</v>
      </c>
      <c r="D236" t="s">
        <v>76</v>
      </c>
      <c r="E236" t="b">
        <v>1</v>
      </c>
      <c r="F236" t="b">
        <v>1</v>
      </c>
      <c r="G236" t="s">
        <v>170</v>
      </c>
      <c r="H236" t="s">
        <v>85</v>
      </c>
      <c r="I236" t="s">
        <v>138</v>
      </c>
      <c r="J236" t="s">
        <v>4</v>
      </c>
    </row>
    <row r="237" spans="1:11" x14ac:dyDescent="0.2">
      <c r="A237" s="1">
        <v>234</v>
      </c>
      <c r="B237" t="s">
        <v>287</v>
      </c>
      <c r="C237" t="s">
        <v>288</v>
      </c>
      <c r="D237" t="s">
        <v>181</v>
      </c>
      <c r="E237" t="b">
        <v>0</v>
      </c>
      <c r="F237" t="b">
        <v>0</v>
      </c>
      <c r="G237" t="s">
        <v>286</v>
      </c>
      <c r="H237" t="s">
        <v>286</v>
      </c>
      <c r="I237" t="s">
        <v>138</v>
      </c>
      <c r="J237" t="s">
        <v>66</v>
      </c>
    </row>
    <row r="238" spans="1:11" x14ac:dyDescent="0.2">
      <c r="A238" s="1">
        <v>235</v>
      </c>
      <c r="B238" t="s">
        <v>287</v>
      </c>
      <c r="C238" t="s">
        <v>288</v>
      </c>
      <c r="D238" t="s">
        <v>181</v>
      </c>
      <c r="E238" t="b">
        <v>0</v>
      </c>
      <c r="F238" t="b">
        <v>0</v>
      </c>
      <c r="G238" t="s">
        <v>382</v>
      </c>
      <c r="H238" t="s">
        <v>202</v>
      </c>
      <c r="I238" t="s">
        <v>33</v>
      </c>
      <c r="J238" t="s">
        <v>66</v>
      </c>
    </row>
    <row r="239" spans="1:11" x14ac:dyDescent="0.2">
      <c r="A239" s="1">
        <v>236</v>
      </c>
      <c r="B239" t="s">
        <v>287</v>
      </c>
      <c r="C239" t="s">
        <v>288</v>
      </c>
      <c r="D239" t="s">
        <v>181</v>
      </c>
      <c r="E239" t="b">
        <v>1</v>
      </c>
      <c r="F239" t="b">
        <v>0</v>
      </c>
      <c r="G239" t="s">
        <v>55</v>
      </c>
      <c r="H239" t="s">
        <v>158</v>
      </c>
      <c r="I239" t="s">
        <v>139</v>
      </c>
      <c r="J239" t="s">
        <v>62</v>
      </c>
    </row>
    <row r="240" spans="1:11" x14ac:dyDescent="0.2">
      <c r="A240" s="1">
        <v>237</v>
      </c>
      <c r="B240" t="s">
        <v>287</v>
      </c>
      <c r="C240" t="s">
        <v>288</v>
      </c>
      <c r="D240" t="s">
        <v>181</v>
      </c>
      <c r="E240" t="b">
        <v>0</v>
      </c>
      <c r="F240" t="b">
        <v>0</v>
      </c>
      <c r="G240" t="s">
        <v>88</v>
      </c>
      <c r="H240" t="s">
        <v>88</v>
      </c>
      <c r="I240" t="s">
        <v>138</v>
      </c>
      <c r="J240" t="s">
        <v>17</v>
      </c>
    </row>
    <row r="241" spans="1:11" x14ac:dyDescent="0.2">
      <c r="A241" s="1">
        <v>238</v>
      </c>
      <c r="B241" t="s">
        <v>290</v>
      </c>
      <c r="C241" t="s">
        <v>291</v>
      </c>
      <c r="D241" t="s">
        <v>181</v>
      </c>
      <c r="E241" t="b">
        <v>0</v>
      </c>
      <c r="F241" t="b">
        <v>0</v>
      </c>
      <c r="G241" t="s">
        <v>20</v>
      </c>
      <c r="H241" t="s">
        <v>20</v>
      </c>
      <c r="I241" t="s">
        <v>139</v>
      </c>
      <c r="J241" t="s">
        <v>66</v>
      </c>
    </row>
    <row r="242" spans="1:11" x14ac:dyDescent="0.2">
      <c r="A242" s="1">
        <v>239</v>
      </c>
      <c r="B242" t="s">
        <v>290</v>
      </c>
      <c r="C242" t="s">
        <v>291</v>
      </c>
      <c r="D242" t="s">
        <v>181</v>
      </c>
      <c r="E242" t="b">
        <v>0</v>
      </c>
      <c r="F242" t="b">
        <v>0</v>
      </c>
      <c r="G242" t="s">
        <v>426</v>
      </c>
      <c r="H242" t="s">
        <v>424</v>
      </c>
      <c r="I242" t="s">
        <v>61</v>
      </c>
      <c r="J242" t="s">
        <v>66</v>
      </c>
    </row>
    <row r="243" spans="1:11" x14ac:dyDescent="0.2">
      <c r="A243" s="1">
        <v>240</v>
      </c>
      <c r="B243" t="s">
        <v>290</v>
      </c>
      <c r="C243" t="s">
        <v>291</v>
      </c>
      <c r="D243" t="s">
        <v>181</v>
      </c>
      <c r="E243" t="b">
        <v>1</v>
      </c>
      <c r="F243" t="b">
        <v>0</v>
      </c>
      <c r="G243" t="s">
        <v>289</v>
      </c>
      <c r="H243" t="s">
        <v>289</v>
      </c>
      <c r="I243" t="s">
        <v>138</v>
      </c>
      <c r="J243" t="s">
        <v>4</v>
      </c>
    </row>
    <row r="244" spans="1:11" x14ac:dyDescent="0.2">
      <c r="A244" s="1">
        <v>241</v>
      </c>
      <c r="B244" t="s">
        <v>294</v>
      </c>
      <c r="C244" t="s">
        <v>26</v>
      </c>
      <c r="D244" t="s">
        <v>192</v>
      </c>
      <c r="E244" t="b">
        <v>1</v>
      </c>
      <c r="F244" t="b">
        <v>0</v>
      </c>
      <c r="G244" t="s">
        <v>393</v>
      </c>
      <c r="H244" t="s">
        <v>24</v>
      </c>
      <c r="I244" t="s">
        <v>138</v>
      </c>
      <c r="J244" t="s">
        <v>62</v>
      </c>
    </row>
    <row r="245" spans="1:11" x14ac:dyDescent="0.2">
      <c r="A245" s="1">
        <v>242</v>
      </c>
      <c r="B245" t="s">
        <v>294</v>
      </c>
      <c r="C245" t="s">
        <v>26</v>
      </c>
      <c r="D245" t="s">
        <v>192</v>
      </c>
      <c r="E245" t="b">
        <v>1</v>
      </c>
      <c r="F245" t="b">
        <v>0</v>
      </c>
      <c r="G245" t="s">
        <v>395</v>
      </c>
      <c r="H245" t="s">
        <v>292</v>
      </c>
      <c r="I245" t="s">
        <v>138</v>
      </c>
      <c r="J245" t="s">
        <v>62</v>
      </c>
    </row>
    <row r="246" spans="1:11" x14ac:dyDescent="0.2">
      <c r="A246" s="1">
        <v>243</v>
      </c>
      <c r="B246" t="s">
        <v>294</v>
      </c>
      <c r="C246" t="s">
        <v>26</v>
      </c>
      <c r="D246" t="s">
        <v>192</v>
      </c>
      <c r="E246" t="b">
        <v>1</v>
      </c>
      <c r="F246" t="b">
        <v>0</v>
      </c>
      <c r="G246" t="s">
        <v>394</v>
      </c>
      <c r="H246" t="s">
        <v>25</v>
      </c>
      <c r="I246" t="s">
        <v>138</v>
      </c>
      <c r="J246" t="s">
        <v>62</v>
      </c>
    </row>
    <row r="247" spans="1:11" x14ac:dyDescent="0.2">
      <c r="A247" s="1">
        <v>244</v>
      </c>
      <c r="B247" t="s">
        <v>294</v>
      </c>
      <c r="C247" t="s">
        <v>26</v>
      </c>
      <c r="D247" t="s">
        <v>192</v>
      </c>
      <c r="E247" t="b">
        <v>1</v>
      </c>
      <c r="F247" t="b">
        <v>0</v>
      </c>
      <c r="G247" t="s">
        <v>396</v>
      </c>
      <c r="H247" t="s">
        <v>293</v>
      </c>
      <c r="I247" t="s">
        <v>138</v>
      </c>
      <c r="J247" t="s">
        <v>62</v>
      </c>
    </row>
    <row r="248" spans="1:11" x14ac:dyDescent="0.2">
      <c r="A248" s="1">
        <v>245</v>
      </c>
      <c r="B248" t="s">
        <v>301</v>
      </c>
      <c r="C248" t="s">
        <v>302</v>
      </c>
      <c r="D248" t="s">
        <v>181</v>
      </c>
      <c r="E248" t="b">
        <v>1</v>
      </c>
      <c r="F248" t="b">
        <v>0</v>
      </c>
      <c r="G248" t="s">
        <v>397</v>
      </c>
      <c r="H248" t="s">
        <v>297</v>
      </c>
      <c r="I248" t="s">
        <v>298</v>
      </c>
      <c r="J248" t="s">
        <v>66</v>
      </c>
    </row>
    <row r="249" spans="1:11" x14ac:dyDescent="0.2">
      <c r="A249" s="1">
        <v>246</v>
      </c>
      <c r="B249" t="s">
        <v>301</v>
      </c>
      <c r="C249" t="s">
        <v>302</v>
      </c>
      <c r="D249" t="s">
        <v>181</v>
      </c>
      <c r="E249" t="b">
        <v>0</v>
      </c>
      <c r="F249" t="b">
        <v>0</v>
      </c>
      <c r="G249" t="s">
        <v>379</v>
      </c>
      <c r="H249" t="s">
        <v>202</v>
      </c>
      <c r="I249" t="s">
        <v>184</v>
      </c>
      <c r="J249" t="s">
        <v>62</v>
      </c>
    </row>
    <row r="250" spans="1:11" x14ac:dyDescent="0.2">
      <c r="A250" s="1">
        <v>247</v>
      </c>
      <c r="B250" t="s">
        <v>301</v>
      </c>
      <c r="C250" t="s">
        <v>302</v>
      </c>
      <c r="D250" t="s">
        <v>181</v>
      </c>
      <c r="E250" t="b">
        <v>0</v>
      </c>
      <c r="F250" t="b">
        <v>0</v>
      </c>
      <c r="G250" t="s">
        <v>404</v>
      </c>
      <c r="H250" t="s">
        <v>296</v>
      </c>
      <c r="I250" t="s">
        <v>184</v>
      </c>
      <c r="J250" t="s">
        <v>66</v>
      </c>
    </row>
    <row r="251" spans="1:11" x14ac:dyDescent="0.2">
      <c r="A251" s="1">
        <v>248</v>
      </c>
      <c r="B251" t="s">
        <v>301</v>
      </c>
      <c r="C251" t="s">
        <v>302</v>
      </c>
      <c r="D251" t="s">
        <v>181</v>
      </c>
      <c r="E251" t="b">
        <v>0</v>
      </c>
      <c r="F251" t="b">
        <v>0</v>
      </c>
      <c r="G251" t="s">
        <v>390</v>
      </c>
      <c r="H251" t="s">
        <v>202</v>
      </c>
      <c r="I251" t="s">
        <v>295</v>
      </c>
      <c r="J251" t="s">
        <v>62</v>
      </c>
    </row>
    <row r="252" spans="1:11" x14ac:dyDescent="0.2">
      <c r="A252" s="1">
        <v>249</v>
      </c>
      <c r="B252" t="s">
        <v>301</v>
      </c>
      <c r="C252" t="s">
        <v>302</v>
      </c>
      <c r="D252" t="s">
        <v>181</v>
      </c>
      <c r="E252" t="b">
        <v>0</v>
      </c>
      <c r="F252" t="b">
        <v>0</v>
      </c>
      <c r="G252" t="s">
        <v>405</v>
      </c>
      <c r="H252" t="s">
        <v>296</v>
      </c>
      <c r="I252" t="s">
        <v>295</v>
      </c>
      <c r="J252" t="s">
        <v>66</v>
      </c>
    </row>
    <row r="253" spans="1:11" x14ac:dyDescent="0.2">
      <c r="A253" s="1">
        <v>250</v>
      </c>
      <c r="B253" t="s">
        <v>301</v>
      </c>
      <c r="C253" t="s">
        <v>302</v>
      </c>
      <c r="D253" t="s">
        <v>181</v>
      </c>
      <c r="E253" t="b">
        <v>0</v>
      </c>
      <c r="F253" t="b">
        <v>0</v>
      </c>
      <c r="G253" t="s">
        <v>299</v>
      </c>
      <c r="H253" t="s">
        <v>299</v>
      </c>
      <c r="I253" t="s">
        <v>138</v>
      </c>
      <c r="J253" t="s">
        <v>17</v>
      </c>
      <c r="K253" t="s">
        <v>300</v>
      </c>
    </row>
    <row r="254" spans="1:11" x14ac:dyDescent="0.2">
      <c r="A254" s="1">
        <v>251</v>
      </c>
      <c r="B254" t="s">
        <v>305</v>
      </c>
      <c r="C254" t="s">
        <v>30</v>
      </c>
      <c r="D254" t="s">
        <v>181</v>
      </c>
      <c r="E254" t="b">
        <v>0</v>
      </c>
      <c r="F254" t="b">
        <v>0</v>
      </c>
      <c r="G254" t="s">
        <v>384</v>
      </c>
      <c r="H254" t="s">
        <v>126</v>
      </c>
      <c r="I254" t="s">
        <v>141</v>
      </c>
      <c r="J254" t="s">
        <v>62</v>
      </c>
    </row>
    <row r="255" spans="1:11" x14ac:dyDescent="0.2">
      <c r="A255" s="1">
        <v>252</v>
      </c>
      <c r="B255" t="s">
        <v>305</v>
      </c>
      <c r="C255" t="s">
        <v>30</v>
      </c>
      <c r="D255" t="s">
        <v>181</v>
      </c>
      <c r="E255" t="b">
        <v>0</v>
      </c>
      <c r="F255" t="b">
        <v>0</v>
      </c>
      <c r="G255" t="s">
        <v>383</v>
      </c>
      <c r="H255" t="s">
        <v>198</v>
      </c>
      <c r="I255" t="s">
        <v>141</v>
      </c>
      <c r="J255" t="s">
        <v>62</v>
      </c>
    </row>
    <row r="256" spans="1:11" x14ac:dyDescent="0.2">
      <c r="A256" s="1">
        <v>253</v>
      </c>
      <c r="B256" t="s">
        <v>305</v>
      </c>
      <c r="C256" t="s">
        <v>30</v>
      </c>
      <c r="D256" t="s">
        <v>181</v>
      </c>
      <c r="E256" t="b">
        <v>0</v>
      </c>
      <c r="F256" t="b">
        <v>0</v>
      </c>
      <c r="G256" t="s">
        <v>88</v>
      </c>
      <c r="H256" t="s">
        <v>303</v>
      </c>
      <c r="I256" t="s">
        <v>138</v>
      </c>
      <c r="J256" t="s">
        <v>17</v>
      </c>
    </row>
    <row r="257" spans="1:10" x14ac:dyDescent="0.2">
      <c r="A257" s="1">
        <v>254</v>
      </c>
      <c r="B257" t="s">
        <v>305</v>
      </c>
      <c r="C257" t="s">
        <v>30</v>
      </c>
      <c r="D257" t="s">
        <v>181</v>
      </c>
      <c r="E257" t="b">
        <v>0</v>
      </c>
      <c r="F257" t="b">
        <v>0</v>
      </c>
      <c r="G257" t="s">
        <v>20</v>
      </c>
      <c r="H257" t="s">
        <v>20</v>
      </c>
      <c r="I257" t="s">
        <v>139</v>
      </c>
      <c r="J257" t="s">
        <v>66</v>
      </c>
    </row>
    <row r="258" spans="1:10" x14ac:dyDescent="0.2">
      <c r="A258" s="1">
        <v>255</v>
      </c>
      <c r="B258" t="s">
        <v>305</v>
      </c>
      <c r="C258" t="s">
        <v>30</v>
      </c>
      <c r="D258" t="s">
        <v>181</v>
      </c>
      <c r="E258" t="b">
        <v>0</v>
      </c>
      <c r="F258" t="b">
        <v>0</v>
      </c>
      <c r="G258" t="s">
        <v>382</v>
      </c>
      <c r="H258" t="s">
        <v>304</v>
      </c>
      <c r="I258" t="s">
        <v>138</v>
      </c>
      <c r="J258" t="s">
        <v>66</v>
      </c>
    </row>
    <row r="259" spans="1:10" x14ac:dyDescent="0.2">
      <c r="A259" s="1">
        <v>256</v>
      </c>
      <c r="B259" t="s">
        <v>305</v>
      </c>
      <c r="C259" t="s">
        <v>30</v>
      </c>
      <c r="D259" t="s">
        <v>181</v>
      </c>
      <c r="E259" t="b">
        <v>1</v>
      </c>
      <c r="F259" t="b">
        <v>1</v>
      </c>
      <c r="G259" t="s">
        <v>388</v>
      </c>
      <c r="H259" t="s">
        <v>51</v>
      </c>
      <c r="I259" t="s">
        <v>138</v>
      </c>
      <c r="J259" t="s">
        <v>62</v>
      </c>
    </row>
    <row r="260" spans="1:10" x14ac:dyDescent="0.2">
      <c r="A260" s="1">
        <v>257</v>
      </c>
      <c r="B260" t="s">
        <v>305</v>
      </c>
      <c r="C260" t="s">
        <v>30</v>
      </c>
      <c r="D260" t="s">
        <v>181</v>
      </c>
      <c r="E260" t="b">
        <v>1</v>
      </c>
      <c r="F260" t="b">
        <v>1</v>
      </c>
      <c r="G260" t="s">
        <v>170</v>
      </c>
      <c r="H260" t="s">
        <v>166</v>
      </c>
      <c r="I260" t="s">
        <v>138</v>
      </c>
      <c r="J260" t="s">
        <v>4</v>
      </c>
    </row>
    <row r="261" spans="1:10" x14ac:dyDescent="0.2">
      <c r="A261" s="1">
        <v>258</v>
      </c>
      <c r="B261" t="s">
        <v>307</v>
      </c>
      <c r="C261" t="s">
        <v>308</v>
      </c>
      <c r="D261" t="s">
        <v>181</v>
      </c>
      <c r="E261" t="b">
        <v>0</v>
      </c>
      <c r="F261" t="b">
        <v>0</v>
      </c>
      <c r="G261" t="s">
        <v>398</v>
      </c>
      <c r="H261" t="s">
        <v>306</v>
      </c>
      <c r="I261" t="s">
        <v>138</v>
      </c>
      <c r="J261" t="s">
        <v>66</v>
      </c>
    </row>
    <row r="262" spans="1:10" x14ac:dyDescent="0.2">
      <c r="A262" s="1">
        <v>259</v>
      </c>
      <c r="B262" t="s">
        <v>311</v>
      </c>
      <c r="C262" t="s">
        <v>312</v>
      </c>
      <c r="D262" t="s">
        <v>192</v>
      </c>
      <c r="E262" t="b">
        <v>1</v>
      </c>
      <c r="F262" t="b">
        <v>0</v>
      </c>
      <c r="G262" t="s">
        <v>55</v>
      </c>
      <c r="H262" t="s">
        <v>55</v>
      </c>
      <c r="I262" t="s">
        <v>199</v>
      </c>
      <c r="J262" t="s">
        <v>66</v>
      </c>
    </row>
    <row r="263" spans="1:10" x14ac:dyDescent="0.2">
      <c r="A263" s="1">
        <v>260</v>
      </c>
      <c r="B263" t="s">
        <v>311</v>
      </c>
      <c r="C263" t="s">
        <v>312</v>
      </c>
      <c r="D263" t="s">
        <v>192</v>
      </c>
      <c r="E263" t="b">
        <v>0</v>
      </c>
      <c r="F263" t="b">
        <v>0</v>
      </c>
      <c r="G263" t="s">
        <v>209</v>
      </c>
      <c r="H263" t="s">
        <v>309</v>
      </c>
      <c r="I263" t="s">
        <v>141</v>
      </c>
      <c r="J263" t="s">
        <v>66</v>
      </c>
    </row>
    <row r="264" spans="1:10" x14ac:dyDescent="0.2">
      <c r="A264" s="1">
        <v>261</v>
      </c>
      <c r="B264" t="s">
        <v>311</v>
      </c>
      <c r="C264" t="s">
        <v>312</v>
      </c>
      <c r="D264" t="s">
        <v>192</v>
      </c>
      <c r="E264" t="b">
        <v>0</v>
      </c>
      <c r="F264" t="b">
        <v>0</v>
      </c>
      <c r="G264" t="s">
        <v>201</v>
      </c>
      <c r="H264" t="s">
        <v>201</v>
      </c>
      <c r="I264" t="s">
        <v>141</v>
      </c>
      <c r="J264" t="s">
        <v>66</v>
      </c>
    </row>
    <row r="265" spans="1:10" x14ac:dyDescent="0.2">
      <c r="A265" s="1">
        <v>262</v>
      </c>
      <c r="B265" t="s">
        <v>311</v>
      </c>
      <c r="C265" t="s">
        <v>312</v>
      </c>
      <c r="D265" t="s">
        <v>192</v>
      </c>
      <c r="E265" t="b">
        <v>0</v>
      </c>
      <c r="F265" t="b">
        <v>0</v>
      </c>
      <c r="G265" t="s">
        <v>382</v>
      </c>
      <c r="H265" t="s">
        <v>202</v>
      </c>
      <c r="I265" t="s">
        <v>33</v>
      </c>
      <c r="J265" t="s">
        <v>66</v>
      </c>
    </row>
    <row r="266" spans="1:10" x14ac:dyDescent="0.2">
      <c r="A266" s="1">
        <v>263</v>
      </c>
      <c r="B266" t="s">
        <v>311</v>
      </c>
      <c r="C266" t="s">
        <v>312</v>
      </c>
      <c r="D266" t="s">
        <v>192</v>
      </c>
      <c r="E266" t="b">
        <v>0</v>
      </c>
      <c r="F266" t="b">
        <v>0</v>
      </c>
      <c r="G266" t="s">
        <v>417</v>
      </c>
      <c r="H266" t="s">
        <v>310</v>
      </c>
      <c r="I266" t="s">
        <v>199</v>
      </c>
      <c r="J266" t="s">
        <v>11</v>
      </c>
    </row>
    <row r="267" spans="1:10" x14ac:dyDescent="0.2">
      <c r="A267" s="1">
        <v>264</v>
      </c>
      <c r="B267" t="s">
        <v>311</v>
      </c>
      <c r="C267" t="s">
        <v>312</v>
      </c>
      <c r="D267" t="s">
        <v>192</v>
      </c>
      <c r="E267" t="b">
        <v>0</v>
      </c>
      <c r="F267" t="b">
        <v>0</v>
      </c>
      <c r="G267" t="s">
        <v>88</v>
      </c>
      <c r="H267" t="s">
        <v>88</v>
      </c>
      <c r="I267" t="s">
        <v>138</v>
      </c>
      <c r="J267" t="s">
        <v>17</v>
      </c>
    </row>
    <row r="268" spans="1:10" x14ac:dyDescent="0.2">
      <c r="A268" s="1">
        <v>265</v>
      </c>
      <c r="B268" t="s">
        <v>315</v>
      </c>
      <c r="C268" t="s">
        <v>29</v>
      </c>
      <c r="D268" t="s">
        <v>181</v>
      </c>
      <c r="E268" t="b">
        <v>0</v>
      </c>
      <c r="F268" t="b">
        <v>0</v>
      </c>
      <c r="G268" t="s">
        <v>313</v>
      </c>
      <c r="H268" t="s">
        <v>313</v>
      </c>
      <c r="I268" t="s">
        <v>58</v>
      </c>
      <c r="J268" t="s">
        <v>66</v>
      </c>
    </row>
    <row r="269" spans="1:10" x14ac:dyDescent="0.2">
      <c r="A269" s="1">
        <v>266</v>
      </c>
      <c r="B269" t="s">
        <v>315</v>
      </c>
      <c r="C269" t="s">
        <v>29</v>
      </c>
      <c r="D269" t="s">
        <v>181</v>
      </c>
      <c r="E269" t="b">
        <v>1</v>
      </c>
      <c r="F269" t="b">
        <v>0</v>
      </c>
      <c r="G269" t="s">
        <v>55</v>
      </c>
      <c r="H269" t="s">
        <v>55</v>
      </c>
      <c r="I269" t="s">
        <v>58</v>
      </c>
      <c r="J269" t="s">
        <v>66</v>
      </c>
    </row>
    <row r="270" spans="1:10" x14ac:dyDescent="0.2">
      <c r="A270" s="1">
        <v>267</v>
      </c>
      <c r="B270" t="s">
        <v>315</v>
      </c>
      <c r="C270" t="s">
        <v>29</v>
      </c>
      <c r="D270" t="s">
        <v>181</v>
      </c>
      <c r="E270" t="b">
        <v>0</v>
      </c>
      <c r="F270" t="b">
        <v>0</v>
      </c>
      <c r="G270" t="s">
        <v>367</v>
      </c>
      <c r="H270" t="s">
        <v>314</v>
      </c>
      <c r="I270" t="s">
        <v>58</v>
      </c>
      <c r="J270" t="s">
        <v>66</v>
      </c>
    </row>
    <row r="271" spans="1:10" x14ac:dyDescent="0.2">
      <c r="A271" s="1">
        <v>268</v>
      </c>
      <c r="B271" t="s">
        <v>315</v>
      </c>
      <c r="C271" t="s">
        <v>29</v>
      </c>
      <c r="D271" t="s">
        <v>181</v>
      </c>
      <c r="E271" t="b">
        <v>1</v>
      </c>
      <c r="F271" t="b">
        <v>1</v>
      </c>
      <c r="G271" t="s">
        <v>170</v>
      </c>
      <c r="H271" t="s">
        <v>250</v>
      </c>
      <c r="I271" t="s">
        <v>138</v>
      </c>
      <c r="J271" t="s">
        <v>4</v>
      </c>
    </row>
    <row r="272" spans="1:10" x14ac:dyDescent="0.2">
      <c r="A272" s="1">
        <v>269</v>
      </c>
      <c r="B272" t="s">
        <v>317</v>
      </c>
      <c r="C272" t="s">
        <v>208</v>
      </c>
      <c r="D272" t="s">
        <v>181</v>
      </c>
      <c r="E272" t="b">
        <v>0</v>
      </c>
      <c r="F272" t="b">
        <v>0</v>
      </c>
      <c r="G272" t="s">
        <v>384</v>
      </c>
      <c r="H272" t="s">
        <v>126</v>
      </c>
      <c r="I272" t="s">
        <v>141</v>
      </c>
      <c r="J272" t="s">
        <v>62</v>
      </c>
    </row>
    <row r="273" spans="1:11" x14ac:dyDescent="0.2">
      <c r="A273" s="1">
        <v>270</v>
      </c>
      <c r="B273" t="s">
        <v>317</v>
      </c>
      <c r="C273" t="s">
        <v>208</v>
      </c>
      <c r="D273" t="s">
        <v>181</v>
      </c>
      <c r="E273" t="b">
        <v>0</v>
      </c>
      <c r="F273" t="b">
        <v>0</v>
      </c>
      <c r="G273" t="s">
        <v>383</v>
      </c>
      <c r="H273" t="s">
        <v>198</v>
      </c>
      <c r="I273" t="s">
        <v>141</v>
      </c>
      <c r="J273" t="s">
        <v>62</v>
      </c>
    </row>
    <row r="274" spans="1:11" x14ac:dyDescent="0.2">
      <c r="A274" s="1">
        <v>271</v>
      </c>
      <c r="B274" t="s">
        <v>317</v>
      </c>
      <c r="C274" t="s">
        <v>208</v>
      </c>
      <c r="D274" t="s">
        <v>181</v>
      </c>
      <c r="E274" t="b">
        <v>0</v>
      </c>
      <c r="F274" t="b">
        <v>0</v>
      </c>
      <c r="G274" t="s">
        <v>35</v>
      </c>
      <c r="H274" t="s">
        <v>35</v>
      </c>
      <c r="I274" t="s">
        <v>138</v>
      </c>
      <c r="J274" t="s">
        <v>66</v>
      </c>
    </row>
    <row r="275" spans="1:11" x14ac:dyDescent="0.2">
      <c r="A275" s="1">
        <v>272</v>
      </c>
      <c r="B275" t="s">
        <v>317</v>
      </c>
      <c r="C275" t="s">
        <v>208</v>
      </c>
      <c r="D275" t="s">
        <v>181</v>
      </c>
      <c r="E275" t="b">
        <v>1</v>
      </c>
      <c r="F275" t="b">
        <v>1</v>
      </c>
      <c r="G275" t="s">
        <v>388</v>
      </c>
      <c r="H275" t="s">
        <v>51</v>
      </c>
      <c r="I275" t="s">
        <v>138</v>
      </c>
      <c r="J275" t="s">
        <v>62</v>
      </c>
    </row>
    <row r="276" spans="1:11" x14ac:dyDescent="0.2">
      <c r="A276" s="1">
        <v>273</v>
      </c>
      <c r="B276" t="s">
        <v>317</v>
      </c>
      <c r="C276" t="s">
        <v>208</v>
      </c>
      <c r="D276" t="s">
        <v>181</v>
      </c>
      <c r="E276" t="b">
        <v>1</v>
      </c>
      <c r="F276" t="b">
        <v>1</v>
      </c>
      <c r="G276" t="s">
        <v>316</v>
      </c>
      <c r="H276" t="s">
        <v>118</v>
      </c>
      <c r="I276" t="s">
        <v>138</v>
      </c>
      <c r="J276" t="s">
        <v>4</v>
      </c>
    </row>
    <row r="277" spans="1:11" x14ac:dyDescent="0.2">
      <c r="A277" s="1">
        <v>274</v>
      </c>
      <c r="B277" t="s">
        <v>317</v>
      </c>
      <c r="C277" t="s">
        <v>208</v>
      </c>
      <c r="D277" t="s">
        <v>181</v>
      </c>
      <c r="E277" t="b">
        <v>1</v>
      </c>
      <c r="F277" t="b">
        <v>1</v>
      </c>
      <c r="G277" t="s">
        <v>316</v>
      </c>
      <c r="H277" t="s">
        <v>119</v>
      </c>
      <c r="I277" t="s">
        <v>138</v>
      </c>
      <c r="J277" t="s">
        <v>4</v>
      </c>
    </row>
    <row r="278" spans="1:11" x14ac:dyDescent="0.2">
      <c r="A278" s="1">
        <v>275</v>
      </c>
      <c r="B278" t="s">
        <v>317</v>
      </c>
      <c r="C278" t="s">
        <v>208</v>
      </c>
      <c r="D278" t="s">
        <v>181</v>
      </c>
      <c r="E278" t="b">
        <v>1</v>
      </c>
      <c r="F278" t="b">
        <v>1</v>
      </c>
      <c r="G278" t="s">
        <v>316</v>
      </c>
      <c r="H278" t="s">
        <v>120</v>
      </c>
      <c r="I278" t="s">
        <v>138</v>
      </c>
      <c r="J278" t="s">
        <v>4</v>
      </c>
    </row>
    <row r="279" spans="1:11" x14ac:dyDescent="0.2">
      <c r="A279" s="1">
        <v>276</v>
      </c>
      <c r="B279" t="s">
        <v>325</v>
      </c>
      <c r="C279" t="s">
        <v>208</v>
      </c>
      <c r="D279" t="s">
        <v>181</v>
      </c>
      <c r="E279" t="b">
        <v>0</v>
      </c>
      <c r="F279" t="b">
        <v>0</v>
      </c>
      <c r="G279" t="s">
        <v>425</v>
      </c>
      <c r="H279" t="s">
        <v>422</v>
      </c>
      <c r="I279" t="s">
        <v>61</v>
      </c>
      <c r="J279" t="s">
        <v>66</v>
      </c>
      <c r="K279" t="s">
        <v>318</v>
      </c>
    </row>
    <row r="280" spans="1:11" x14ac:dyDescent="0.2">
      <c r="A280" s="1">
        <v>277</v>
      </c>
      <c r="B280" t="s">
        <v>325</v>
      </c>
      <c r="C280" t="s">
        <v>208</v>
      </c>
      <c r="D280" t="s">
        <v>181</v>
      </c>
      <c r="E280" t="b">
        <v>0</v>
      </c>
      <c r="F280" t="b">
        <v>0</v>
      </c>
      <c r="G280" t="s">
        <v>399</v>
      </c>
      <c r="H280" t="s">
        <v>320</v>
      </c>
      <c r="I280" t="s">
        <v>138</v>
      </c>
      <c r="J280" t="s">
        <v>66</v>
      </c>
      <c r="K280" t="s">
        <v>319</v>
      </c>
    </row>
    <row r="281" spans="1:11" x14ac:dyDescent="0.2">
      <c r="A281" s="1">
        <v>278</v>
      </c>
      <c r="B281" t="s">
        <v>325</v>
      </c>
      <c r="C281" t="s">
        <v>208</v>
      </c>
      <c r="D281" t="s">
        <v>181</v>
      </c>
      <c r="E281" t="b">
        <v>1</v>
      </c>
      <c r="F281" t="b">
        <v>1</v>
      </c>
      <c r="G281" t="s">
        <v>388</v>
      </c>
      <c r="H281" t="s">
        <v>51</v>
      </c>
      <c r="I281" t="s">
        <v>138</v>
      </c>
      <c r="J281" t="s">
        <v>62</v>
      </c>
    </row>
    <row r="282" spans="1:11" x14ac:dyDescent="0.2">
      <c r="A282" s="1">
        <v>279</v>
      </c>
      <c r="B282" t="s">
        <v>325</v>
      </c>
      <c r="C282" t="s">
        <v>208</v>
      </c>
      <c r="D282" t="s">
        <v>181</v>
      </c>
      <c r="E282" t="b">
        <v>0</v>
      </c>
      <c r="F282" t="b">
        <v>0</v>
      </c>
      <c r="G282" t="s">
        <v>223</v>
      </c>
      <c r="H282" t="s">
        <v>202</v>
      </c>
      <c r="I282" t="s">
        <v>50</v>
      </c>
      <c r="J282" t="s">
        <v>66</v>
      </c>
    </row>
    <row r="283" spans="1:11" x14ac:dyDescent="0.2">
      <c r="A283" s="1">
        <v>280</v>
      </c>
      <c r="B283" t="s">
        <v>325</v>
      </c>
      <c r="C283" t="s">
        <v>208</v>
      </c>
      <c r="D283" t="s">
        <v>181</v>
      </c>
      <c r="E283" t="b">
        <v>0</v>
      </c>
      <c r="F283" t="b">
        <v>0</v>
      </c>
      <c r="G283" t="s">
        <v>389</v>
      </c>
      <c r="H283" t="s">
        <v>202</v>
      </c>
      <c r="I283" t="s">
        <v>321</v>
      </c>
      <c r="J283" t="s">
        <v>66</v>
      </c>
    </row>
    <row r="284" spans="1:11" x14ac:dyDescent="0.2">
      <c r="A284" s="1">
        <v>281</v>
      </c>
      <c r="B284" t="s">
        <v>325</v>
      </c>
      <c r="C284" t="s">
        <v>208</v>
      </c>
      <c r="D284" t="s">
        <v>181</v>
      </c>
      <c r="E284" t="b">
        <v>1</v>
      </c>
      <c r="F284" t="b">
        <v>0</v>
      </c>
      <c r="G284" t="s">
        <v>200</v>
      </c>
      <c r="H284" t="s">
        <v>200</v>
      </c>
      <c r="I284" t="s">
        <v>141</v>
      </c>
      <c r="J284" t="s">
        <v>66</v>
      </c>
    </row>
    <row r="285" spans="1:11" x14ac:dyDescent="0.2">
      <c r="A285" s="1">
        <v>282</v>
      </c>
      <c r="B285" t="s">
        <v>325</v>
      </c>
      <c r="C285" t="s">
        <v>208</v>
      </c>
      <c r="D285" t="s">
        <v>181</v>
      </c>
      <c r="E285" t="b">
        <v>0</v>
      </c>
      <c r="F285" t="b">
        <v>0</v>
      </c>
      <c r="G285" t="s">
        <v>201</v>
      </c>
      <c r="H285" t="s">
        <v>201</v>
      </c>
      <c r="I285" t="s">
        <v>141</v>
      </c>
      <c r="J285" t="s">
        <v>66</v>
      </c>
    </row>
    <row r="286" spans="1:11" x14ac:dyDescent="0.2">
      <c r="A286" s="1">
        <v>283</v>
      </c>
      <c r="B286" t="s">
        <v>325</v>
      </c>
      <c r="C286" t="s">
        <v>208</v>
      </c>
      <c r="D286" t="s">
        <v>181</v>
      </c>
      <c r="E286" t="b">
        <v>1</v>
      </c>
      <c r="F286" t="b">
        <v>1</v>
      </c>
      <c r="G286" t="s">
        <v>170</v>
      </c>
      <c r="H286" t="s">
        <v>84</v>
      </c>
      <c r="I286" t="s">
        <v>138</v>
      </c>
      <c r="J286" t="s">
        <v>4</v>
      </c>
    </row>
    <row r="287" spans="1:11" x14ac:dyDescent="0.2">
      <c r="A287" s="1">
        <v>284</v>
      </c>
      <c r="B287" t="s">
        <v>325</v>
      </c>
      <c r="C287" t="s">
        <v>208</v>
      </c>
      <c r="D287" t="s">
        <v>181</v>
      </c>
      <c r="E287" t="b">
        <v>1</v>
      </c>
      <c r="F287" t="b">
        <v>1</v>
      </c>
      <c r="G287" t="s">
        <v>316</v>
      </c>
      <c r="H287" t="s">
        <v>323</v>
      </c>
      <c r="I287" t="s">
        <v>138</v>
      </c>
      <c r="J287" t="s">
        <v>4</v>
      </c>
    </row>
    <row r="288" spans="1:11" x14ac:dyDescent="0.2">
      <c r="A288" s="1">
        <v>285</v>
      </c>
      <c r="B288" t="s">
        <v>325</v>
      </c>
      <c r="C288" t="s">
        <v>208</v>
      </c>
      <c r="D288" t="s">
        <v>181</v>
      </c>
      <c r="E288" t="b">
        <v>0</v>
      </c>
      <c r="F288" t="b">
        <v>0</v>
      </c>
      <c r="G288" t="s">
        <v>144</v>
      </c>
      <c r="H288" t="s">
        <v>144</v>
      </c>
      <c r="I288" t="s">
        <v>138</v>
      </c>
      <c r="J288" t="s">
        <v>11</v>
      </c>
    </row>
    <row r="289" spans="1:11" x14ac:dyDescent="0.2">
      <c r="A289" s="1">
        <v>286</v>
      </c>
      <c r="B289" t="s">
        <v>325</v>
      </c>
      <c r="C289" t="s">
        <v>208</v>
      </c>
      <c r="D289" t="s">
        <v>181</v>
      </c>
      <c r="E289" t="b">
        <v>0</v>
      </c>
      <c r="F289" t="b">
        <v>0</v>
      </c>
      <c r="G289" t="s">
        <v>322</v>
      </c>
      <c r="H289" t="s">
        <v>322</v>
      </c>
      <c r="I289" t="s">
        <v>138</v>
      </c>
      <c r="J289" t="s">
        <v>11</v>
      </c>
      <c r="K289" t="s">
        <v>324</v>
      </c>
    </row>
    <row r="290" spans="1:11" x14ac:dyDescent="0.2">
      <c r="A290" s="1">
        <v>287</v>
      </c>
      <c r="B290" t="s">
        <v>327</v>
      </c>
      <c r="C290" t="s">
        <v>328</v>
      </c>
      <c r="D290" t="s">
        <v>192</v>
      </c>
      <c r="E290" t="b">
        <v>1</v>
      </c>
      <c r="F290" t="b">
        <v>0</v>
      </c>
      <c r="G290" t="s">
        <v>55</v>
      </c>
      <c r="H290" t="s">
        <v>55</v>
      </c>
      <c r="I290" t="s">
        <v>138</v>
      </c>
      <c r="J290" t="s">
        <v>66</v>
      </c>
    </row>
    <row r="291" spans="1:11" x14ac:dyDescent="0.2">
      <c r="A291" s="1">
        <v>288</v>
      </c>
      <c r="B291" t="s">
        <v>327</v>
      </c>
      <c r="C291" t="s">
        <v>328</v>
      </c>
      <c r="D291" t="s">
        <v>192</v>
      </c>
      <c r="E291" t="b">
        <v>0</v>
      </c>
      <c r="F291" t="b">
        <v>0</v>
      </c>
      <c r="G291" t="s">
        <v>385</v>
      </c>
      <c r="H291" t="s">
        <v>202</v>
      </c>
      <c r="I291" t="s">
        <v>326</v>
      </c>
      <c r="J291" t="s">
        <v>62</v>
      </c>
    </row>
    <row r="292" spans="1:11" x14ac:dyDescent="0.2">
      <c r="A292" s="1">
        <v>289</v>
      </c>
      <c r="B292" t="s">
        <v>327</v>
      </c>
      <c r="C292" t="s">
        <v>328</v>
      </c>
      <c r="D292" t="s">
        <v>192</v>
      </c>
      <c r="E292" t="b">
        <v>1</v>
      </c>
      <c r="F292" t="b">
        <v>1</v>
      </c>
      <c r="G292" t="s">
        <v>170</v>
      </c>
      <c r="H292" t="s">
        <v>87</v>
      </c>
      <c r="I292" t="s">
        <v>138</v>
      </c>
      <c r="J292" t="s">
        <v>4</v>
      </c>
    </row>
    <row r="293" spans="1:11" x14ac:dyDescent="0.2">
      <c r="A293" s="1">
        <v>290</v>
      </c>
      <c r="B293" t="s">
        <v>327</v>
      </c>
      <c r="C293" t="s">
        <v>328</v>
      </c>
      <c r="D293" t="s">
        <v>192</v>
      </c>
      <c r="E293" t="b">
        <v>1</v>
      </c>
      <c r="F293" t="b">
        <v>1</v>
      </c>
      <c r="G293" t="s">
        <v>170</v>
      </c>
      <c r="H293" t="s">
        <v>85</v>
      </c>
      <c r="I293" t="s">
        <v>138</v>
      </c>
      <c r="J293" t="s">
        <v>4</v>
      </c>
    </row>
    <row r="294" spans="1:11" x14ac:dyDescent="0.2">
      <c r="A294" s="1">
        <v>291</v>
      </c>
      <c r="B294" t="s">
        <v>334</v>
      </c>
      <c r="C294" t="s">
        <v>36</v>
      </c>
      <c r="D294" t="s">
        <v>192</v>
      </c>
      <c r="E294" t="b">
        <v>0</v>
      </c>
      <c r="F294" t="b">
        <v>0</v>
      </c>
      <c r="G294" t="s">
        <v>400</v>
      </c>
      <c r="H294" t="s">
        <v>329</v>
      </c>
      <c r="I294" t="s">
        <v>141</v>
      </c>
      <c r="J294" t="s">
        <v>62</v>
      </c>
    </row>
    <row r="295" spans="1:11" x14ac:dyDescent="0.2">
      <c r="A295" s="1">
        <v>292</v>
      </c>
      <c r="B295" t="s">
        <v>334</v>
      </c>
      <c r="C295" t="s">
        <v>36</v>
      </c>
      <c r="D295" t="s">
        <v>192</v>
      </c>
      <c r="E295" t="b">
        <v>0</v>
      </c>
      <c r="F295" t="b">
        <v>0</v>
      </c>
      <c r="G295" t="s">
        <v>389</v>
      </c>
      <c r="H295" t="s">
        <v>202</v>
      </c>
      <c r="I295" t="s">
        <v>330</v>
      </c>
      <c r="J295" t="s">
        <v>66</v>
      </c>
    </row>
    <row r="296" spans="1:11" x14ac:dyDescent="0.2">
      <c r="A296" s="1">
        <v>293</v>
      </c>
      <c r="B296" t="s">
        <v>334</v>
      </c>
      <c r="C296" t="s">
        <v>36</v>
      </c>
      <c r="D296" t="s">
        <v>192</v>
      </c>
      <c r="E296" t="b">
        <v>1</v>
      </c>
      <c r="F296" t="b">
        <v>0</v>
      </c>
      <c r="G296" t="s">
        <v>331</v>
      </c>
      <c r="H296" t="s">
        <v>331</v>
      </c>
      <c r="I296" t="s">
        <v>138</v>
      </c>
      <c r="J296" t="s">
        <v>66</v>
      </c>
    </row>
    <row r="297" spans="1:11" x14ac:dyDescent="0.2">
      <c r="A297" s="1">
        <v>294</v>
      </c>
      <c r="B297" t="s">
        <v>334</v>
      </c>
      <c r="C297" t="s">
        <v>36</v>
      </c>
      <c r="D297" t="s">
        <v>192</v>
      </c>
      <c r="E297" t="b">
        <v>0</v>
      </c>
      <c r="F297" t="b">
        <v>0</v>
      </c>
      <c r="G297" t="s">
        <v>332</v>
      </c>
      <c r="H297" t="s">
        <v>332</v>
      </c>
      <c r="I297" t="s">
        <v>141</v>
      </c>
      <c r="J297" t="s">
        <v>66</v>
      </c>
    </row>
    <row r="298" spans="1:11" x14ac:dyDescent="0.2">
      <c r="A298" s="1">
        <v>295</v>
      </c>
      <c r="B298" t="s">
        <v>334</v>
      </c>
      <c r="C298" t="s">
        <v>36</v>
      </c>
      <c r="D298" t="s">
        <v>192</v>
      </c>
      <c r="E298" t="b">
        <v>1</v>
      </c>
      <c r="F298" t="b">
        <v>0</v>
      </c>
      <c r="G298" t="s">
        <v>407</v>
      </c>
      <c r="H298" t="s">
        <v>416</v>
      </c>
      <c r="I298" t="s">
        <v>138</v>
      </c>
      <c r="J298" t="s">
        <v>66</v>
      </c>
    </row>
    <row r="299" spans="1:11" x14ac:dyDescent="0.2">
      <c r="A299" s="1">
        <v>297</v>
      </c>
      <c r="B299" t="s">
        <v>334</v>
      </c>
      <c r="C299" t="s">
        <v>36</v>
      </c>
      <c r="D299" t="s">
        <v>192</v>
      </c>
      <c r="E299" t="b">
        <v>1</v>
      </c>
      <c r="F299" t="b">
        <v>0</v>
      </c>
      <c r="G299" t="s">
        <v>406</v>
      </c>
      <c r="H299" t="s">
        <v>333</v>
      </c>
      <c r="I299" t="s">
        <v>199</v>
      </c>
      <c r="J299" t="s">
        <v>66</v>
      </c>
    </row>
    <row r="300" spans="1:11" x14ac:dyDescent="0.2">
      <c r="A300" s="1">
        <v>298</v>
      </c>
      <c r="B300" t="s">
        <v>334</v>
      </c>
      <c r="C300" t="s">
        <v>36</v>
      </c>
      <c r="D300" t="s">
        <v>192</v>
      </c>
      <c r="E300" t="b">
        <v>1</v>
      </c>
      <c r="F300" t="b">
        <v>1</v>
      </c>
      <c r="G300" t="s">
        <v>170</v>
      </c>
      <c r="H300" t="s">
        <v>233</v>
      </c>
      <c r="I300" t="s">
        <v>138</v>
      </c>
      <c r="J300" t="s">
        <v>4</v>
      </c>
    </row>
    <row r="301" spans="1:11" x14ac:dyDescent="0.2">
      <c r="A301" s="1">
        <v>299</v>
      </c>
      <c r="B301" t="s">
        <v>336</v>
      </c>
      <c r="C301" t="s">
        <v>337</v>
      </c>
      <c r="D301" t="s">
        <v>192</v>
      </c>
      <c r="E301" t="b">
        <v>0</v>
      </c>
      <c r="F301" t="b">
        <v>0</v>
      </c>
      <c r="G301" t="s">
        <v>382</v>
      </c>
      <c r="H301" t="s">
        <v>202</v>
      </c>
      <c r="I301" t="s">
        <v>33</v>
      </c>
      <c r="J301" t="s">
        <v>66</v>
      </c>
    </row>
    <row r="302" spans="1:11" x14ac:dyDescent="0.2">
      <c r="A302" s="1">
        <v>300</v>
      </c>
      <c r="B302" t="s">
        <v>336</v>
      </c>
      <c r="C302" t="s">
        <v>337</v>
      </c>
      <c r="D302" t="s">
        <v>192</v>
      </c>
      <c r="E302" t="b">
        <v>0</v>
      </c>
      <c r="F302" t="b">
        <v>0</v>
      </c>
      <c r="G302" t="s">
        <v>425</v>
      </c>
      <c r="H302" t="s">
        <v>423</v>
      </c>
      <c r="I302" t="s">
        <v>61</v>
      </c>
      <c r="J302" t="s">
        <v>66</v>
      </c>
    </row>
    <row r="303" spans="1:11" x14ac:dyDescent="0.2">
      <c r="A303" s="1">
        <v>301</v>
      </c>
      <c r="B303" t="s">
        <v>336</v>
      </c>
      <c r="C303" t="s">
        <v>337</v>
      </c>
      <c r="D303" t="s">
        <v>192</v>
      </c>
      <c r="E303" t="b">
        <v>1</v>
      </c>
      <c r="F303" t="b">
        <v>1</v>
      </c>
      <c r="G303" t="s">
        <v>388</v>
      </c>
      <c r="H303" t="s">
        <v>51</v>
      </c>
      <c r="I303" t="s">
        <v>138</v>
      </c>
      <c r="J303" t="s">
        <v>62</v>
      </c>
      <c r="K303" t="s">
        <v>335</v>
      </c>
    </row>
    <row r="304" spans="1:11" x14ac:dyDescent="0.2">
      <c r="A304" s="1">
        <v>302</v>
      </c>
      <c r="B304" t="s">
        <v>342</v>
      </c>
      <c r="C304" t="s">
        <v>343</v>
      </c>
      <c r="D304" t="s">
        <v>181</v>
      </c>
      <c r="E304" t="b">
        <v>0</v>
      </c>
      <c r="F304" t="b">
        <v>0</v>
      </c>
      <c r="G304" t="s">
        <v>20</v>
      </c>
      <c r="H304" t="s">
        <v>20</v>
      </c>
      <c r="I304" t="s">
        <v>139</v>
      </c>
      <c r="J304" t="s">
        <v>66</v>
      </c>
    </row>
    <row r="305" spans="1:11" x14ac:dyDescent="0.2">
      <c r="A305" s="1">
        <v>303</v>
      </c>
      <c r="B305" t="s">
        <v>342</v>
      </c>
      <c r="C305" t="s">
        <v>343</v>
      </c>
      <c r="D305" t="s">
        <v>181</v>
      </c>
      <c r="E305" t="b">
        <v>0</v>
      </c>
      <c r="F305" t="b">
        <v>0</v>
      </c>
      <c r="G305" t="s">
        <v>385</v>
      </c>
      <c r="H305" t="s">
        <v>202</v>
      </c>
      <c r="I305" t="s">
        <v>338</v>
      </c>
      <c r="J305" t="s">
        <v>66</v>
      </c>
      <c r="K305" t="s">
        <v>339</v>
      </c>
    </row>
    <row r="306" spans="1:11" x14ac:dyDescent="0.2">
      <c r="A306" s="1">
        <v>304</v>
      </c>
      <c r="B306" t="s">
        <v>342</v>
      </c>
      <c r="C306" t="s">
        <v>343</v>
      </c>
      <c r="D306" t="s">
        <v>181</v>
      </c>
      <c r="E306" t="b">
        <v>0</v>
      </c>
      <c r="F306" t="b">
        <v>0</v>
      </c>
      <c r="G306" t="s">
        <v>59</v>
      </c>
      <c r="H306" t="s">
        <v>340</v>
      </c>
      <c r="I306" t="s">
        <v>138</v>
      </c>
      <c r="J306" t="s">
        <v>62</v>
      </c>
      <c r="K306" t="s">
        <v>341</v>
      </c>
    </row>
    <row r="307" spans="1:11" x14ac:dyDescent="0.2">
      <c r="A307" s="1">
        <v>305</v>
      </c>
      <c r="B307" t="s">
        <v>344</v>
      </c>
      <c r="C307" t="s">
        <v>345</v>
      </c>
      <c r="D307" t="s">
        <v>181</v>
      </c>
      <c r="E307" t="b">
        <v>0</v>
      </c>
      <c r="F307" t="b">
        <v>0</v>
      </c>
      <c r="G307" t="s">
        <v>346</v>
      </c>
      <c r="H307" t="s">
        <v>346</v>
      </c>
      <c r="I307" t="s">
        <v>138</v>
      </c>
      <c r="J307" t="s">
        <v>66</v>
      </c>
      <c r="K307" t="s">
        <v>347</v>
      </c>
    </row>
    <row r="308" spans="1:11" x14ac:dyDescent="0.2">
      <c r="A308" s="1">
        <v>306</v>
      </c>
      <c r="B308" t="s">
        <v>349</v>
      </c>
      <c r="C308" t="s">
        <v>348</v>
      </c>
      <c r="D308" t="s">
        <v>15</v>
      </c>
      <c r="E308" t="b">
        <v>0</v>
      </c>
      <c r="F308" t="b">
        <v>0</v>
      </c>
      <c r="G308" t="s">
        <v>32</v>
      </c>
      <c r="H308" t="s">
        <v>32</v>
      </c>
      <c r="I308" t="s">
        <v>138</v>
      </c>
      <c r="J308" t="s">
        <v>62</v>
      </c>
    </row>
    <row r="309" spans="1:11" x14ac:dyDescent="0.2">
      <c r="A309" s="1">
        <v>307</v>
      </c>
      <c r="B309" t="s">
        <v>351</v>
      </c>
      <c r="C309" t="s">
        <v>352</v>
      </c>
      <c r="D309" t="s">
        <v>181</v>
      </c>
      <c r="E309" t="b">
        <v>0</v>
      </c>
      <c r="F309" t="b">
        <v>0</v>
      </c>
      <c r="G309" t="s">
        <v>367</v>
      </c>
      <c r="H309" t="s">
        <v>53</v>
      </c>
      <c r="I309" t="s">
        <v>138</v>
      </c>
      <c r="J309" t="s">
        <v>66</v>
      </c>
    </row>
    <row r="310" spans="1:11" x14ac:dyDescent="0.2">
      <c r="A310" s="1">
        <v>308</v>
      </c>
      <c r="B310" t="s">
        <v>351</v>
      </c>
      <c r="C310" t="s">
        <v>352</v>
      </c>
      <c r="D310" t="s">
        <v>181</v>
      </c>
      <c r="E310" t="b">
        <v>0</v>
      </c>
      <c r="F310" t="b">
        <v>0</v>
      </c>
      <c r="G310" t="s">
        <v>350</v>
      </c>
      <c r="H310" t="s">
        <v>350</v>
      </c>
      <c r="I310" t="s">
        <v>155</v>
      </c>
      <c r="J310" t="s">
        <v>66</v>
      </c>
    </row>
    <row r="311" spans="1:11" x14ac:dyDescent="0.2">
      <c r="A311" s="1">
        <v>309</v>
      </c>
      <c r="B311" t="s">
        <v>351</v>
      </c>
      <c r="C311" t="s">
        <v>352</v>
      </c>
      <c r="D311" t="s">
        <v>181</v>
      </c>
      <c r="E311" t="b">
        <v>0</v>
      </c>
      <c r="F311" t="b">
        <v>0</v>
      </c>
      <c r="G311" t="s">
        <v>37</v>
      </c>
      <c r="H311" t="s">
        <v>37</v>
      </c>
      <c r="I311" t="s">
        <v>138</v>
      </c>
      <c r="J311" t="s">
        <v>62</v>
      </c>
    </row>
    <row r="312" spans="1:11" x14ac:dyDescent="0.2">
      <c r="A312" s="1">
        <v>310</v>
      </c>
      <c r="B312" t="s">
        <v>351</v>
      </c>
      <c r="C312" t="s">
        <v>352</v>
      </c>
      <c r="D312" t="s">
        <v>181</v>
      </c>
      <c r="E312" t="b">
        <v>0</v>
      </c>
      <c r="F312" t="b">
        <v>0</v>
      </c>
      <c r="G312" t="s">
        <v>384</v>
      </c>
      <c r="H312" t="s">
        <v>126</v>
      </c>
      <c r="I312" t="s">
        <v>141</v>
      </c>
      <c r="J312" t="s">
        <v>62</v>
      </c>
    </row>
    <row r="313" spans="1:11" x14ac:dyDescent="0.2">
      <c r="A313" s="1">
        <v>311</v>
      </c>
      <c r="B313" t="s">
        <v>351</v>
      </c>
      <c r="C313" t="s">
        <v>352</v>
      </c>
      <c r="D313" t="s">
        <v>181</v>
      </c>
      <c r="E313" t="b">
        <v>0</v>
      </c>
      <c r="F313" t="b">
        <v>0</v>
      </c>
      <c r="G313" t="s">
        <v>383</v>
      </c>
      <c r="H313" t="s">
        <v>198</v>
      </c>
      <c r="I313" t="s">
        <v>141</v>
      </c>
      <c r="J313" t="s">
        <v>62</v>
      </c>
    </row>
    <row r="314" spans="1:11" x14ac:dyDescent="0.2">
      <c r="A314" s="1">
        <v>312</v>
      </c>
      <c r="B314" t="s">
        <v>351</v>
      </c>
      <c r="C314" t="s">
        <v>352</v>
      </c>
      <c r="D314" t="s">
        <v>181</v>
      </c>
      <c r="E314" t="b">
        <v>1</v>
      </c>
      <c r="F314" t="b">
        <v>1</v>
      </c>
      <c r="G314" t="s">
        <v>170</v>
      </c>
      <c r="H314" t="s">
        <v>166</v>
      </c>
      <c r="I314" t="s">
        <v>138</v>
      </c>
      <c r="J314" t="s">
        <v>4</v>
      </c>
    </row>
    <row r="315" spans="1:11" x14ac:dyDescent="0.2">
      <c r="A315" s="1">
        <v>313</v>
      </c>
      <c r="B315" t="s">
        <v>355</v>
      </c>
      <c r="C315" t="s">
        <v>356</v>
      </c>
      <c r="D315" t="s">
        <v>76</v>
      </c>
      <c r="E315" t="b">
        <v>0</v>
      </c>
      <c r="F315" t="b">
        <v>0</v>
      </c>
      <c r="G315" t="s">
        <v>353</v>
      </c>
      <c r="H315" t="s">
        <v>353</v>
      </c>
      <c r="I315" t="s">
        <v>138</v>
      </c>
      <c r="J315" t="s">
        <v>66</v>
      </c>
      <c r="K315" t="s">
        <v>354</v>
      </c>
    </row>
    <row r="316" spans="1:11" x14ac:dyDescent="0.2">
      <c r="A316" s="1">
        <v>314</v>
      </c>
      <c r="B316" t="s">
        <v>358</v>
      </c>
      <c r="C316" t="s">
        <v>40</v>
      </c>
      <c r="D316" t="s">
        <v>181</v>
      </c>
      <c r="E316" t="b">
        <v>0</v>
      </c>
      <c r="F316" t="b">
        <v>0</v>
      </c>
      <c r="G316" t="s">
        <v>350</v>
      </c>
      <c r="H316" t="s">
        <v>350</v>
      </c>
      <c r="I316" t="s">
        <v>155</v>
      </c>
      <c r="J316" t="s">
        <v>66</v>
      </c>
    </row>
    <row r="317" spans="1:11" x14ac:dyDescent="0.2">
      <c r="A317" s="1">
        <v>315</v>
      </c>
      <c r="B317" t="s">
        <v>358</v>
      </c>
      <c r="C317" t="s">
        <v>40</v>
      </c>
      <c r="D317" t="s">
        <v>181</v>
      </c>
      <c r="E317" t="b">
        <v>1</v>
      </c>
      <c r="F317" t="b">
        <v>1</v>
      </c>
      <c r="G317" t="s">
        <v>170</v>
      </c>
      <c r="H317" t="s">
        <v>84</v>
      </c>
      <c r="I317" t="s">
        <v>138</v>
      </c>
      <c r="J317" t="s">
        <v>4</v>
      </c>
    </row>
    <row r="318" spans="1:11" x14ac:dyDescent="0.2">
      <c r="A318" s="1">
        <v>316</v>
      </c>
      <c r="B318" t="s">
        <v>358</v>
      </c>
      <c r="C318" t="s">
        <v>40</v>
      </c>
      <c r="D318" t="s">
        <v>181</v>
      </c>
      <c r="E318" t="b">
        <v>1</v>
      </c>
      <c r="F318" t="b">
        <v>1</v>
      </c>
      <c r="G318" t="s">
        <v>170</v>
      </c>
      <c r="H318" t="s">
        <v>357</v>
      </c>
      <c r="I318" t="s">
        <v>138</v>
      </c>
      <c r="J318" t="s">
        <v>4</v>
      </c>
    </row>
    <row r="319" spans="1:11" x14ac:dyDescent="0.2">
      <c r="A319" s="1">
        <v>317</v>
      </c>
      <c r="B319" t="s">
        <v>359</v>
      </c>
      <c r="C319" t="s">
        <v>360</v>
      </c>
      <c r="D319" t="s">
        <v>181</v>
      </c>
      <c r="E319" t="b">
        <v>0</v>
      </c>
      <c r="F319" t="b">
        <v>0</v>
      </c>
      <c r="G319" t="s">
        <v>417</v>
      </c>
      <c r="H319" t="s">
        <v>27</v>
      </c>
      <c r="I319" t="s">
        <v>138</v>
      </c>
      <c r="J319" t="s">
        <v>11</v>
      </c>
    </row>
    <row r="320" spans="1:11" x14ac:dyDescent="0.2">
      <c r="A320" s="1">
        <v>318</v>
      </c>
      <c r="B320" t="s">
        <v>359</v>
      </c>
      <c r="C320" t="s">
        <v>360</v>
      </c>
      <c r="D320" t="s">
        <v>181</v>
      </c>
      <c r="E320" t="b">
        <v>0</v>
      </c>
      <c r="F320" t="b">
        <v>0</v>
      </c>
      <c r="G320" t="s">
        <v>401</v>
      </c>
      <c r="H320" t="s">
        <v>28</v>
      </c>
      <c r="I320" t="s">
        <v>138</v>
      </c>
      <c r="J320" t="s">
        <v>66</v>
      </c>
    </row>
    <row r="321" spans="1:10" x14ac:dyDescent="0.2">
      <c r="A321" s="1">
        <v>319</v>
      </c>
      <c r="B321" t="s">
        <v>359</v>
      </c>
      <c r="C321" t="s">
        <v>360</v>
      </c>
      <c r="D321" t="s">
        <v>181</v>
      </c>
      <c r="E321" t="b">
        <v>1</v>
      </c>
      <c r="F321" t="b">
        <v>1</v>
      </c>
      <c r="G321" t="s">
        <v>170</v>
      </c>
      <c r="H321" t="s">
        <v>87</v>
      </c>
      <c r="I321" t="s">
        <v>138</v>
      </c>
      <c r="J321" t="s">
        <v>4</v>
      </c>
    </row>
    <row r="322" spans="1:10" x14ac:dyDescent="0.2">
      <c r="A322" s="1">
        <v>320</v>
      </c>
      <c r="B322" t="s">
        <v>359</v>
      </c>
      <c r="C322" t="s">
        <v>360</v>
      </c>
      <c r="D322" t="s">
        <v>181</v>
      </c>
      <c r="E322" t="b">
        <v>1</v>
      </c>
      <c r="F322" t="b">
        <v>1</v>
      </c>
      <c r="G322" t="s">
        <v>170</v>
      </c>
      <c r="H322" t="s">
        <v>84</v>
      </c>
      <c r="I322" t="s">
        <v>138</v>
      </c>
      <c r="J322" t="s">
        <v>4</v>
      </c>
    </row>
    <row r="323" spans="1:10" x14ac:dyDescent="0.2">
      <c r="A323" s="1">
        <v>321</v>
      </c>
      <c r="B323" t="s">
        <v>361</v>
      </c>
      <c r="C323" t="s">
        <v>362</v>
      </c>
      <c r="D323" t="s">
        <v>181</v>
      </c>
      <c r="E323" t="b">
        <v>0</v>
      </c>
      <c r="F323" t="b">
        <v>0</v>
      </c>
      <c r="G323" t="s">
        <v>384</v>
      </c>
      <c r="H323" t="s">
        <v>126</v>
      </c>
      <c r="I323" t="s">
        <v>141</v>
      </c>
      <c r="J323" t="s">
        <v>62</v>
      </c>
    </row>
    <row r="324" spans="1:10" x14ac:dyDescent="0.2">
      <c r="A324" s="1">
        <v>322</v>
      </c>
      <c r="B324" t="s">
        <v>361</v>
      </c>
      <c r="C324" t="s">
        <v>362</v>
      </c>
      <c r="D324" t="s">
        <v>181</v>
      </c>
      <c r="E324" t="b">
        <v>1</v>
      </c>
      <c r="F324" t="b">
        <v>1</v>
      </c>
      <c r="G324" t="s">
        <v>388</v>
      </c>
      <c r="H324" t="s">
        <v>51</v>
      </c>
      <c r="I324" t="s">
        <v>138</v>
      </c>
      <c r="J324" t="s">
        <v>62</v>
      </c>
    </row>
    <row r="325" spans="1:10" x14ac:dyDescent="0.2">
      <c r="A325" s="1">
        <v>323</v>
      </c>
      <c r="B325" t="s">
        <v>361</v>
      </c>
      <c r="C325" t="s">
        <v>362</v>
      </c>
      <c r="D325" t="s">
        <v>181</v>
      </c>
      <c r="E325" t="b">
        <v>1</v>
      </c>
      <c r="F325" t="b">
        <v>1</v>
      </c>
      <c r="G325" t="s">
        <v>170</v>
      </c>
      <c r="H325" t="s">
        <v>166</v>
      </c>
      <c r="I325" t="s">
        <v>138</v>
      </c>
      <c r="J325" t="s">
        <v>4</v>
      </c>
    </row>
    <row r="326" spans="1:10" x14ac:dyDescent="0.2">
      <c r="A326" s="1">
        <v>324</v>
      </c>
      <c r="B326" t="s">
        <v>365</v>
      </c>
      <c r="C326" t="s">
        <v>47</v>
      </c>
      <c r="D326" t="s">
        <v>253</v>
      </c>
      <c r="E326" t="b">
        <v>0</v>
      </c>
      <c r="F326" t="b">
        <v>0</v>
      </c>
      <c r="G326" t="s">
        <v>391</v>
      </c>
      <c r="H326" t="s">
        <v>202</v>
      </c>
      <c r="I326" t="s">
        <v>155</v>
      </c>
      <c r="J326" t="s">
        <v>66</v>
      </c>
    </row>
    <row r="327" spans="1:10" x14ac:dyDescent="0.2">
      <c r="A327" s="1">
        <v>325</v>
      </c>
      <c r="B327" t="s">
        <v>365</v>
      </c>
      <c r="C327" t="s">
        <v>47</v>
      </c>
      <c r="D327" t="s">
        <v>253</v>
      </c>
      <c r="E327" t="b">
        <v>0</v>
      </c>
      <c r="F327" t="b">
        <v>0</v>
      </c>
      <c r="G327" t="s">
        <v>367</v>
      </c>
      <c r="H327" t="s">
        <v>367</v>
      </c>
      <c r="I327" t="s">
        <v>138</v>
      </c>
      <c r="J327" t="s">
        <v>66</v>
      </c>
    </row>
    <row r="328" spans="1:10" x14ac:dyDescent="0.2">
      <c r="A328" s="1">
        <v>326</v>
      </c>
      <c r="B328" t="s">
        <v>365</v>
      </c>
      <c r="C328" t="s">
        <v>47</v>
      </c>
      <c r="D328" t="s">
        <v>253</v>
      </c>
      <c r="E328" t="b">
        <v>0</v>
      </c>
      <c r="F328" t="b">
        <v>0</v>
      </c>
      <c r="G328" t="s">
        <v>417</v>
      </c>
      <c r="H328" t="s">
        <v>363</v>
      </c>
      <c r="I328" t="s">
        <v>138</v>
      </c>
      <c r="J328" t="s">
        <v>11</v>
      </c>
    </row>
    <row r="329" spans="1:10" x14ac:dyDescent="0.2">
      <c r="A329" s="1">
        <v>327</v>
      </c>
      <c r="B329" t="s">
        <v>365</v>
      </c>
      <c r="C329" t="s">
        <v>47</v>
      </c>
      <c r="D329" t="s">
        <v>253</v>
      </c>
      <c r="E329" t="b">
        <v>1</v>
      </c>
      <c r="F329" t="b">
        <v>1</v>
      </c>
      <c r="G329" t="s">
        <v>170</v>
      </c>
      <c r="H329" t="s">
        <v>85</v>
      </c>
      <c r="I329" t="s">
        <v>138</v>
      </c>
      <c r="J329" t="s">
        <v>4</v>
      </c>
    </row>
    <row r="330" spans="1:10" x14ac:dyDescent="0.2">
      <c r="A330" s="1">
        <v>328</v>
      </c>
      <c r="B330" t="s">
        <v>365</v>
      </c>
      <c r="C330" t="s">
        <v>47</v>
      </c>
      <c r="D330" t="s">
        <v>253</v>
      </c>
      <c r="E330" t="b">
        <v>0</v>
      </c>
      <c r="F330" t="b">
        <v>0</v>
      </c>
      <c r="G330" t="s">
        <v>402</v>
      </c>
      <c r="H330" t="s">
        <v>364</v>
      </c>
      <c r="I330" t="s">
        <v>138</v>
      </c>
      <c r="J330" t="s">
        <v>66</v>
      </c>
    </row>
    <row r="332" spans="1:10" x14ac:dyDescent="0.2">
      <c r="C332">
        <f>COUNTA(_xlfn.UNIQUE(Table1[Author]))</f>
        <v>76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BB0495-19CB-450F-93C7-5685CE20DA5E}">
          <x14:formula1>
            <xm:f>overview!$B$3:$B$10</xm:f>
          </x14:formula1>
          <xm:sqref>J4:J330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31A10F-DC00-4ED7-A7AB-92BC0C778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metrics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</dc:creator>
  <cp:lastModifiedBy>Karst, Fabian</cp:lastModifiedBy>
  <dcterms:created xsi:type="dcterms:W3CDTF">2015-06-05T18:19:34Z</dcterms:created>
  <dcterms:modified xsi:type="dcterms:W3CDTF">2026-01-04T06:12:20Z</dcterms:modified>
</cp:coreProperties>
</file>