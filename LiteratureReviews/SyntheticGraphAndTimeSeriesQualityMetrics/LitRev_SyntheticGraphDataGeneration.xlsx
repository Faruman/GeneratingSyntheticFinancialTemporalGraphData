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universitaetstgallen-my.sharepoint.com/personal/fabian_karst_unisg_ch/Documents/03_PhD/Research/3_ArtificialDatabaseCombination/InformationSystemResearch2024/LiteratureReviews/SyntheticGraphDataGeneration/"/>
    </mc:Choice>
  </mc:AlternateContent>
  <xr:revisionPtr revIDLastSave="1613" documentId="11_AD4DB114E441178AC67DF4FCD652D864693EDF13" xr6:coauthVersionLast="47" xr6:coauthVersionMax="47" xr10:uidLastSave="{38A8B819-AEF2-4E48-8EC2-F156951A75FA}"/>
  <bookViews>
    <workbookView xWindow="-108" yWindow="-108" windowWidth="23256" windowHeight="12456" xr2:uid="{00000000-000D-0000-FFFF-FFFF00000000}"/>
  </bookViews>
  <sheets>
    <sheet name="Overview" sheetId="1" r:id="rId1"/>
    <sheet name="Total" sheetId="6" r:id="rId2"/>
    <sheet name="ACM" sheetId="2" r:id="rId3"/>
    <sheet name="IEEE" sheetId="3" r:id="rId4"/>
    <sheet name="Scopus" sheetId="4" r:id="rId5"/>
    <sheet name="WoS" sheetId="5" r:id="rId6"/>
    <sheet name="Forward"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7" l="1"/>
  <c r="A10" i="7"/>
  <c r="A9" i="7"/>
  <c r="A8" i="7"/>
  <c r="H11" i="1"/>
  <c r="A2" i="7"/>
  <c r="A3" i="7"/>
  <c r="A4" i="7"/>
  <c r="A5" i="7"/>
  <c r="A6" i="7"/>
  <c r="A7" i="7"/>
  <c r="A2" i="5"/>
  <c r="F11" i="1"/>
  <c r="F10" i="1" l="1"/>
  <c r="F8" i="1"/>
  <c r="F9" i="1"/>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H110" i="5"/>
  <c r="H109" i="5"/>
  <c r="H108" i="5"/>
  <c r="H107" i="5"/>
  <c r="H105" i="5"/>
  <c r="H104" i="5"/>
  <c r="H103" i="5"/>
  <c r="H102" i="5"/>
  <c r="H101" i="5"/>
  <c r="H100" i="5"/>
  <c r="H99" i="5"/>
  <c r="H98" i="5"/>
  <c r="H97" i="5"/>
  <c r="H96" i="5"/>
  <c r="H95" i="5"/>
  <c r="H94" i="5"/>
  <c r="H93" i="5"/>
  <c r="H92" i="5"/>
  <c r="H91" i="5"/>
  <c r="H90" i="5"/>
  <c r="H89" i="5"/>
  <c r="H88" i="5"/>
  <c r="H87" i="5"/>
  <c r="H86" i="5"/>
  <c r="H84" i="5"/>
  <c r="H83" i="5"/>
  <c r="H82" i="5"/>
  <c r="H81" i="5"/>
  <c r="H80" i="5"/>
  <c r="H79" i="5"/>
  <c r="H78" i="5"/>
  <c r="H77" i="5"/>
  <c r="H76" i="5"/>
  <c r="H74" i="5"/>
  <c r="H73" i="5"/>
  <c r="H72" i="5"/>
  <c r="H71" i="5"/>
  <c r="H70" i="5"/>
  <c r="H68" i="5"/>
  <c r="H67" i="5"/>
  <c r="H66" i="5"/>
  <c r="H65" i="5"/>
  <c r="H64" i="5"/>
  <c r="H63" i="5"/>
  <c r="H62" i="5"/>
  <c r="H61" i="5"/>
  <c r="H60" i="5"/>
  <c r="H59" i="5"/>
  <c r="H56" i="5"/>
  <c r="H54" i="5"/>
  <c r="H53" i="5"/>
  <c r="H52" i="5"/>
  <c r="H51" i="5"/>
  <c r="H50" i="5"/>
  <c r="H49" i="5"/>
  <c r="H48" i="5"/>
  <c r="H47" i="5"/>
  <c r="H46" i="5"/>
  <c r="H45" i="5"/>
  <c r="H44" i="5"/>
  <c r="H43" i="5"/>
  <c r="H42" i="5"/>
  <c r="H41" i="5"/>
  <c r="H40" i="5"/>
  <c r="H39" i="5"/>
  <c r="H38" i="5"/>
  <c r="H37" i="5"/>
  <c r="H34" i="5"/>
  <c r="H33" i="5"/>
  <c r="H31" i="5"/>
  <c r="H30" i="5"/>
  <c r="H29" i="5"/>
  <c r="H28" i="5"/>
  <c r="H27" i="5"/>
  <c r="H26" i="5"/>
  <c r="H25" i="5"/>
  <c r="H24" i="5"/>
  <c r="H22" i="5"/>
  <c r="H21" i="5"/>
  <c r="H20" i="5"/>
  <c r="H19" i="5"/>
  <c r="H18" i="5"/>
  <c r="H17" i="5"/>
  <c r="H16" i="5"/>
  <c r="H15" i="5"/>
  <c r="H14" i="5"/>
  <c r="H13" i="5"/>
  <c r="H12" i="5"/>
  <c r="H11" i="5"/>
  <c r="H10" i="5"/>
  <c r="H9" i="5"/>
  <c r="H8" i="5"/>
  <c r="H7" i="5"/>
  <c r="H6" i="5"/>
  <c r="H5" i="5"/>
  <c r="H4" i="5"/>
  <c r="H3" i="5"/>
  <c r="H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3" i="2"/>
  <c r="A2" i="2"/>
  <c r="F7" i="1"/>
  <c r="F12" i="1" l="1"/>
  <c r="F5" i="1"/>
  <c r="E6" i="1" l="1"/>
  <c r="D6" i="1"/>
  <c r="B6" i="1"/>
  <c r="C6" i="1"/>
  <c r="F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1350F7-13BA-4DE6-A674-31D0C0C12DD0}" keepAlive="1" name="Query - Scopus_SyntheticGraphDataGeneration" description="Connection to the 'Scopus_SyntheticGraphDataGeneration' query in the workbook." type="5" refreshedVersion="0" background="1" saveData="1">
    <dbPr connection="Provider=Microsoft.Mashup.OleDb.1;Data Source=$Workbook$;Location=Scopus_SyntheticGraphDataGeneration;Extended Properties=&quot;&quot;" command="SELECT * FROM [Scopus_SyntheticGraphDataGeneration]"/>
  </connection>
</connections>
</file>

<file path=xl/sharedStrings.xml><?xml version="1.0" encoding="utf-8"?>
<sst xmlns="http://schemas.openxmlformats.org/spreadsheetml/2006/main" count="3890" uniqueCount="2032">
  <si>
    <t>Search String</t>
  </si>
  <si>
    <t>ACM</t>
  </si>
  <si>
    <t>IEEE</t>
  </si>
  <si>
    <t>Scopus</t>
  </si>
  <si>
    <t>Web of Science</t>
  </si>
  <si>
    <t>Hits per Database</t>
  </si>
  <si>
    <t>Searched Content: Title / Abstract / Author Keywords</t>
  </si>
  <si>
    <t xml:space="preserve">Date Range: 2020 - </t>
  </si>
  <si>
    <t>Authors</t>
  </si>
  <si>
    <t>Schulz, NA; Carus, J; Wiederhold, AJ; Johanns, O; Peters, F; Rath, N; Rausch, K; Holleczek, B; Katalinic, A; Gundler, C</t>
  </si>
  <si>
    <t>Clarkson, J; Cucuringu, M; Elliott, A; Reinert, G</t>
  </si>
  <si>
    <t>Bergami, G</t>
  </si>
  <si>
    <t>Jiang, M; Hooper, A; Tian, X; Xu, J; Chen, SN; Ma, ZF; Cheng, X</t>
  </si>
  <si>
    <t>Lin, GC; Lin, AJ</t>
  </si>
  <si>
    <t>Yu, H; Wu, SW; Dauwels, J</t>
  </si>
  <si>
    <t>Chen, YT; Yu, XH; Koudas, N; Yu, ZQ</t>
  </si>
  <si>
    <t>Article Title</t>
  </si>
  <si>
    <t>Learning debiased graph representations from the OMOP common data model for synthetic data generation</t>
  </si>
  <si>
    <t>DAMNETS: A Deep Autoregressive Model for Generating Markovian Network Time Series</t>
  </si>
  <si>
    <t>Fast Synthetic Data-Aware Log Generation for Temporal Declarative Models</t>
  </si>
  <si>
    <t>Health record hiccups-5,526 real-world time series with change points labelled by crowdsourced visual inspection</t>
  </si>
  <si>
    <t>Delineation of built-up land change from SAR stack by analysing the coefficient of variation</t>
  </si>
  <si>
    <t>Modified multiscale sample entropy and cross-sample entropy based on horizontal visibility graph</t>
  </si>
  <si>
    <t>Inference of dynamic hypergraph representations in temporal interaction data</t>
  </si>
  <si>
    <t>Efficient Variational Bayes Learning of Graphical Models With Smooth Structural Changes</t>
  </si>
  <si>
    <t>Assessing Deep Generative Models on Time Series Network Data</t>
  </si>
  <si>
    <t>Evaluating Temporal Queries Over Video Feeds</t>
  </si>
  <si>
    <t>The Euler characteristic as a topological marker for outbreaks in vector-borne disease</t>
  </si>
  <si>
    <t>Author Keywords</t>
  </si>
  <si>
    <t/>
  </si>
  <si>
    <t>Abstract</t>
  </si>
  <si>
    <t>Background Generating synthetic patient data is crucial for medical research, but common approaches build up on black-box models which do not allow for expert verification or intervention. We propose a highly available method which enables synthetic data generation from real patient records in a privacy preserving and compliant fashion, is interpretable and allows for expert intervention.Methods Our approach ties together two established tools in medical informatics, namely OMOP as a data standard for electronic health records and Synthea as a data synthetization method. For this study, data pipelines were built which extract data from OMOP, convert them into time series format, learn temporal rules by 2 statistical algorithms (Markov chain, TARM) and 3 algorithms of causal discovery (DYNOTEARS, J-PCMCI+, LiNGAM) and map the outputs into Synthea graphs. The graphs are evaluated quantitatively by their individual and relative complexity and qualitatively by medical experts.Results The algorithms were found to learn qualitatively and quantitatively different graph representations. Whereas the Markov chain results in extremely large graphs, TARM, DYNOTEARS, and J-PCMCI+ were found to reduce the data dimension during learning. The MultiGroupDirect LiNGAM algorithm was found to not be applicable to the problem statement at hand.Conclusion Only TARM and DYNOTEARS are practical algorithms for real-world data in this use case. As causal discovery is a method to debias purely statistical relationships, the gradient-based causal discovery algorithm DYNOTEARS was found to be most suitable.</t>
  </si>
  <si>
    <t>Generative models for network time series (also known as dynamic graphs) have tremendous potential in fields such as epidemiology, biology and economics, where complex graph-based dynamics are core objects of study. Designing flexible and scalable generative models is a very challenging task due to the high dimensionality of the data, as well as the need to represent temporal dependencies and marginal network structure. Here we introduce DAMNETS, a scalable deep generative model for network time series. DAMNETS outperforms competing methods on all of our measures of sample quality, over both real and synthetic data sets.</t>
  </si>
  <si>
    <t>Business Process Management algorithms are heavily limited by suboptimal algorithmic implementations that cannot leverage state-of-the-art algorithms in the field of relational and graph databases. The recent interest in this discipline for various IT sectors (cybersecurity, Industry 4.0, and e-Health) calls for defining new algorithms improving the performance of existing ones. This paper focuses on generating several traces collected in a log from declarative temporal models by pre-emptively representing those as a specific type of finite state automaton: we show that this task boils down to a single-source multi-target graph traversal on such automaton where both the number of distinct paths to be visited as well as their length are bounded. This paper presents a novel algorithm running in polynomial time over the size of the declarative model represented as a graph and the desired log's size. The final experiments show that the resulting algorithm outperforms the state-of-the-art data-aware and dataless sequence generations in business process management.</t>
  </si>
  <si>
    <t>One main challenge in detecting built-up land cover changes using synthetic aperture radar (SAR) instruments is that complicated backscattering behaviours and the superimposition of speckles on rich textures cause a large number of false alarms. Using trajectory-based analyses from time-series SAR imagery can mitigate false alarms since the temporal variability in backscattering during construction improves discrimination capability. This paper presents an approach towards the detection of built-up land change based on a single-channel SAR stack. The proposed methodology includes the generation of a change indicator, the Markov modelling procedure and the delineation of changes over built-up areas. The generation of the change indicator aims to provide a feature with abundant contrast between changed and stable areas, a high signal-to-noise ratio and detail preservation. To this end, all temporal information is converted into a map of the coefficient of variation. After error removal, this change detector is combined with a Markov random field (MRF) criterion function. Rather than MRF modelling by iteration with very complex stochastic models, we propose using SAR temporal trajectory under a hypothesis test framework and interferometric coherence series to establish conditional density for each class. Then, the Graph-cuts theory is applied to delineate the boundary between changed and stable areas, followed by a binary classification procedure based on speckle divergence to exclude natural areas. The technique is tested on both synthetic data and two TerraSAR-X datasets covering representative areas with rich texture. We found that in a complex built environment that is challenging for classical change indicators and state-of-the-art techniques, the presented method can provide smaller overall error with better detail preservation.</t>
  </si>
  <si>
    <t>As a crucial method of the feature extraction, the complexity measurement has a wide range of applications in the field of nonlinear time series research. This paper presents an innovative multiscale sample entropy for measuring the complexity of time series based on the horizontal visibility graph. The modified multiscale sample entropy has been proven to be robust on two artificial time series, and is capable of reducing the undefined entropy generated as a result of the increase in scale. We apply the modified multiscale sample entropy to the diagnosis of epilepsy. Using a novel data processing algorithm that combines frequency bands with decomposition, feature vectors are constructed for Electroencephalography (EEG) signals through the proposed entropy calculation algorithm, and different classes of subjects are categorized based on K-Nearest Neighbors, Support Vector Machine, and Artificial Neural Network. In the meantime, we propose an improved horizontal visibility graph-based multiscale cross-sample entropy method to measure the synchronization between two time series. It shows robustness in artificial data and decreases the appearance of undefined entropy to a certain extent. It is possible to extract the characteristics of sleep EEG signals and divide the subjects' sleep stages using this method. Furthermore, this paper introduces the surrogate data test and the proposed methods have the ability to detect the nonlinearity and synchronization in simulations and in real-world experiments. Experimental results demonstrate that the two proposed frameworks are effective in monitoring human health and in assessing physical status through EEG signals.</t>
  </si>
  <si>
    <t>Estimating a sequence of dynamic undirected graphical models, in which adjacent graphs share similar structures, is of paramount importance in various social, financial, biological, and engineering systems, since the evolution of such networks can be utilized for example to spot trends, detect anomalies, predict vulnerability, and evaluate the impact of interventions. Existing methods for learning dynamic graphical models require the tuning parameters that control the graph sparsity and the temporal smoothness to be selected via brute-force grid search. Furthermore, these methods are computationally burdensome with time complexity $\mathcal {O}(NP&lt;^&gt;3)$O(NP3) for $P$P variables and $N$N time points. As a remedy, we propose a low-complexity tuning-free Bayesian approach, named BASS. Specifically, we impose temporally dependent spike and slab priors on the graphs such that they are sparse and varying smoothly across time. An efficient variational inference algorithm based on natural gradients is then derived to learn the graph structures from the data in an automatic manner. Owing to the pseudo-likelihood and the mean-field approximation, the time complexity of BASS is only $\mathcal {O}(NP&lt;^&gt;2)$O(NP2). To cope with the local maxima problem of variational inference, we resort to simulated annealing and propose a method based on bootstrapping of the observations to generate the annealing noise. We provide numerical evidence that BASS outperforms existing methods on synthetic data in terms of structure estimation, while being more efficient especially when the dimension $P$P becomes high. We further apply the approach to the stock return data of 78 banks from 2005 to 2013 and find that the number of edges in the financial network as a function of time contains three peaks, in coincidence with the 2008 global financial crisis and the two subsequent European debt crisis. On the other hand, by identifying the frequency-domain resemblance to the time-varying graphical models, we show that BASS can be extended to learning frequency-varying inverse spectral density matrices, and further yields graphical models for multivariate stationary time series. As an illustration, we analyze scalp EEG signals of patients at the early stages of Alzheimer's disease (AD) and show that the brain networks extracted by BASS can better distinguish between the patients and the healthy controls.</t>
  </si>
  <si>
    <t>Recent advances in Computer Vision and Deep Learning have made possible the efficient extraction of structured information from frames of video feeds. As such, a stream of objects and their associated classes along with unique object identifiers derived via object tracking can be generated, providing unique objects as they are captured across frames. In this paper we initiate a study of temporal queries involving objects and their co-occurrences in video feeds. For example, queries that identify video segments during which the same two red cars and the same two humans appear jointly for five minutes are of interest to many applications ranging from law enforcement to security and safety. We take the first step and define such queries in a way that they incorporate certain physical aspects of video capture such as object occlusion. We present an architecture consisting of three layers, namely object detection/tracking, intermediate data generation, and query evaluation. We propose two techniques, Marked Frame Set (MFS) and Sparse State Graph (SSG), to organize all detected objects in the intermediate data generation layer, which effectively, given the queries, minimizes the number of objects and frames that have to be considered during query evaluation. We also introduce an algorithm called SSG-CM that processes incoming frames against the SSG and efficiently prunes objects and frames unrelated to query evaluation, while maintaining all states required for succinct query evaluation. We present the results of a thorough experimental evaluation utilizing both real and synthetic data, establishing the trade-offs between MFS and SSG. We stress various parameters of interest in our evaluation and demonstrate that the proposed query evaluation methodology coupled with the proposed algorithms is capable to evaluate temporal queries over video feeds efficiently, achieving orders of magnitude performance benefits.</t>
  </si>
  <si>
    <t>Publication Year</t>
  </si>
  <si>
    <t>Citation Count</t>
  </si>
  <si>
    <t>ID</t>
  </si>
  <si>
    <t>Study on Improving Reliability of Synthetic Battery Data with TimeGAN Pre-processing</t>
  </si>
  <si>
    <t>A GAN Data Augmentation approach for trading applications in European Carbon Emission Allowances</t>
  </si>
  <si>
    <t>Heterogeneous Graph Neural Networks for Analysing Spatio-Temporal Cell Surface Dynamics</t>
  </si>
  <si>
    <t>A Comparative Study of Video-Based Human Representations for American Sign Language Alphabet Generation</t>
  </si>
  <si>
    <t>Cell surface membrane deformations underpin fundamental biological processes, such as cell division, motility, or uptake of fluid or particles. Fast lightsheet timelapse microscopy enables imaging these dynamic processes in 3D with high spatial and temporal resolution, generating large imaging datasets that can be challenging to analyse, in part due to their size. We introduce heterogeneous graph convolutional neural networks (hGCNs) to analyse dynamic features on triangulated cell surfaces, reducing the dimensionality to 2D + time. Construction of the underlying spatio-temporal hypergraph employs spectral graph correspondence techniques to map surface nodes between time frames. The utility of hGCNs is demonstrated using synthetic data, showing the ability to discriminate between temporally varying features and to identify the growth stage of thin protrusions on the cell surface known as filopodia. We achieve robust performance, with an F1 score of 0.952 when classifying the life cycle of filopodia in simulated lung cancer cells. Our generic approach has potential for adaptation to numerous other dynamic features on cell surfaces.</t>
  </si>
  <si>
    <t>Sign language is a complex visual language, and automatic interpretations of sign language can facilitate communication involving deaf individuals. As one of the essential components of sign language, fingerspelling connects the natural spoken languages to the sign language and expands the scale of sign language vocabulary. In practice, it is challenging to analyze fingerspelling alphabets due to their signing speed and small motion range. The usage of synthetic data has the potential of further improving fingerspelling alphabets analysis at scale. In this paper, we evaluate how different video-based human representations perform in a framework for Alphabet Generation for American Sign Language (ASL). We tested three mainstream video-based human representations: two-stream inflated 3D ConvNet, 3D landmarks of body joints, and rotation matrices of body joints. We also evaluated the effect of different skeleton graphs and selected body joints. The generation process of ASL fingerspelling used a transformer-based Conditional Variational Autoencoder. To train the model, we collected ASL alphabet signing videos from 17 signers with dynamic alphabet signing. The generated alphabets were evaluated using automatic metrics of quality such as FID, and we also considered supervised metrics by recognizing the generated entries using Spatio-Temporal Graph Convolutional Networks. Our experiments show that using the rotation matrices of the upper body joints and the signing hand give the best results for the generation of ASL alphabet signing. Going forward, our goal is to produce articulated fingerspelling words by combining individual alphabets learned in this work.</t>
  </si>
  <si>
    <t>https://ieeexplore.ieee.org/stamp/stamp.jsp?arnumber=10635109</t>
  </si>
  <si>
    <t>https://ieeexplore.ieee.org/stamp/stamp.jsp?arnumber=9672718</t>
  </si>
  <si>
    <t>https://ieeexplore.ieee.org/stamp/stamp.jsp?arnumber=10582020</t>
  </si>
  <si>
    <t>Graphical models;structural changes;variational inference;simulated annealing;inverse spectral density matrices</t>
  </si>
  <si>
    <t>Link</t>
  </si>
  <si>
    <t>Temporal Graph Generative Models: An empirical study</t>
  </si>
  <si>
    <t>NetDiffus: Network traffic generation by diffusion models through time-series imaging</t>
  </si>
  <si>
    <t>Synthetic data for reef modelling</t>
  </si>
  <si>
    <t>Synthetic data as a contribution and a reward in multi-agent urban traffic forecasting</t>
  </si>
  <si>
    <t>BrainSTEAM: A practical pipeline for connectome-based fmri analysis towards subject classification</t>
  </si>
  <si>
    <t>Causal Recurrent Variational Autoencoder for Medical Time Series Generation</t>
  </si>
  <si>
    <t>Proceedings of the 6th ACM SIGMOD Joint International Workshop on Graph Data Management Experiences and Systems (GRADES) and Network Data Analytics (NDA) 2023, GRADES-NDA 2023</t>
  </si>
  <si>
    <t>Proceedings - 22nd IEEE International Conference on Machine Learning and Applications, ICMLA 2023</t>
  </si>
  <si>
    <t>1st International Workshop on Hybrid Artificial Intelligence and Enterprise Modelling for Intelligent Information Systems, HybridAIMS, 1st Workshop on Knowledge Graphs for Semantics-Driven Systems Engineering, KG4SDSE, Blockchain and Decentralized Governance Design for Information Systems, BC4IS and DGD, associated with the 35th International Conference on Advanced Information Systems Engineering, CAiSE 2023</t>
  </si>
  <si>
    <t>Deep Learning for Network Traffic Data</t>
  </si>
  <si>
    <t>26th International Database Engineered Applications Symposium, IDEAS 2022</t>
  </si>
  <si>
    <t>Spatiotemporal multi-graph convolutional networks with synthetic data for traffic volume forecasting</t>
  </si>
  <si>
    <t>6th International Workshop on Cyber-Security and Functional Safety in Cyber-Physical Systems, IWCFS 2022, 4th International Workshop on Machine Learning and Knowledge Graphs, MLKgraphs 2022, 2nd International Workshop on Time Ordered Data, ProTime2022, 2nd International Workshop on AI System Engineering: Math, Modelling and Software, AISys2022, 1st International Workshop on Distributed Ledgers and Related Technologies, DLRT2022 and 1st International Workshop on Applied Research, Technology Transfer and Knowledge Exchange in Software and Data Science, ARTE2022 held at 33rd International Conference on Database and Expert Systems Applications, DEXA 2022</t>
  </si>
  <si>
    <t>Spatio-temporal dual affine differential invariants for skeleton-based action recognition; [时空双仿射微分不变量及骨架动作识别]</t>
  </si>
  <si>
    <t>21st European Conference on Machine Learning and Principles and Practice of Knowledge Discovery in Databases, ECML PKDD 2021</t>
  </si>
  <si>
    <t>Evaluating Temporal Queries over Video Feeds</t>
  </si>
  <si>
    <t>14th International Conference on Soft Computing Models in Industrial and Environmental Applications, SOCO 2019</t>
  </si>
  <si>
    <t>21th International Conference on Intelligent Data Engineering and Automated Learning, IDEAL 2020</t>
  </si>
  <si>
    <t>https://www.scopus.com/inward/record.uri?eid=2-s2.0-85192299155&amp;doi=10.1103%2fPhysRevE.109.054306&amp;partnerID=40&amp;md5=41882191196501287e013990234b863f</t>
  </si>
  <si>
    <t>https://www.scopus.com/inward/record.uri?eid=2-s2.0-85192269757&amp;doi=10.1145%2f3642970.3655829&amp;partnerID=40&amp;md5=07704366bb1e3711dd278e1e91f04134</t>
  </si>
  <si>
    <t>https://www.scopus.com/inward/record.uri?eid=2-s2.0-85196889697&amp;doi=10.1186%2fs12874-024-02257-8&amp;partnerID=40&amp;md5=6cd1b8926639d98f6081fbd329bcb291</t>
  </si>
  <si>
    <t>https://www.scopus.com/inward/record.uri?eid=2-s2.0-85198017979&amp;doi=10.1016%2fj.comnet.2024.110616&amp;partnerID=40&amp;md5=5dfc5f2513e2f90a3ff7484f52df0489</t>
  </si>
  <si>
    <t>https://www.scopus.com/inward/record.uri?eid=2-s2.0-85196760966&amp;doi=10.1016%2fj.ecoinf.2024.102698&amp;partnerID=40&amp;md5=205045817ec263c753b6b60b47c55f3e</t>
  </si>
  <si>
    <t>https://www.scopus.com/inward/record.uri?eid=2-s2.0-85199458916&amp;doi=10.1109%2fFG59268.2024.10582020&amp;partnerID=40&amp;md5=d7f54bbaeccc601f752869014af40960</t>
  </si>
  <si>
    <t>https://www.scopus.com/inward/record.uri?eid=2-s2.0-85203370022&amp;doi=10.1109%2fISBI56570.2024.10635109&amp;partnerID=40&amp;md5=ff739843c46d2ba432d2433517f3834b</t>
  </si>
  <si>
    <t>https://www.scopus.com/inward/record.uri?eid=2-s2.0-85187575402&amp;doi=10.1016%2fj.trpro.2024.02.017&amp;partnerID=40&amp;md5=06a26ce56c67b479375e07d254ecb234</t>
  </si>
  <si>
    <t>https://www.scopus.com/inward/record.uri?eid=2-s2.0-85181776251&amp;doi=10.1142%2f9789811286421_0005&amp;partnerID=40&amp;md5=47d6ecbce59016e0f343aa527fddc3fb</t>
  </si>
  <si>
    <t>https://www.scopus.com/inward/record.uri?eid=2-s2.0-85163766243&amp;doi=10.1145%2f3594778.3594881&amp;partnerID=40&amp;md5=249a6b3ac947cef69ffa0431858d4697</t>
  </si>
  <si>
    <t>https://www.scopus.com/inward/record.uri?eid=2-s2.0-85168239476&amp;partnerID=40&amp;md5=1039fe1a90a58c46c1a3e45117d75f8b</t>
  </si>
  <si>
    <t>https://www.scopus.com/inward/record.uri?eid=2-s2.0-85163746934&amp;partnerID=40&amp;md5=3da6beb31ca88598f1717f0bc1456bf7</t>
  </si>
  <si>
    <t>https://www.scopus.com/inward/record.uri?eid=2-s2.0-85180782110&amp;doi=10.1109%2fICKII58656.2023.10332555&amp;partnerID=40&amp;md5=5a3aeb9d781881a47e91158f9729dbc4</t>
  </si>
  <si>
    <t>https://www.scopus.com/inward/record.uri?eid=2-s2.0-85190089085&amp;partnerID=40&amp;md5=b30cb66797812124e07085c23f6e3e18</t>
  </si>
  <si>
    <t>https://www.scopus.com/inward/record.uri?eid=2-s2.0-85165890259&amp;doi=10.1093%2fgigascience%2fgiad060&amp;partnerID=40&amp;md5=011ba150b2d7781e71a560ab0a645f7b</t>
  </si>
  <si>
    <t>https://www.scopus.com/inward/record.uri?eid=2-s2.0-85164312933&amp;partnerID=40&amp;md5=8ac54832e00e59c02f589200ba600916</t>
  </si>
  <si>
    <t>https://www.scopus.com/inward/record.uri?eid=2-s2.0-85168102843&amp;doi=10.1093%2fgigascience%2fgiad060&amp;partnerID=40&amp;md5=9838691cd43bd6b9ce145bc9d4890e9b</t>
  </si>
  <si>
    <t>https://www.scopus.com/inward/record.uri?eid=2-s2.0-85122897782&amp;doi=10.1109%2fTPAMI.2022.3140886&amp;partnerID=40&amp;md5=7ca67c2e406c5a81d163d93e30ee830c</t>
  </si>
  <si>
    <t>https://www.scopus.com/inward/record.uri?eid=2-s2.0-85168673090&amp;doi=10.1109%2fEEEIC%2fICPSEurope57605.2023.10194882&amp;partnerID=40&amp;md5=e4b3382db8023b6efb5122e5efba8437</t>
  </si>
  <si>
    <t>https://www.scopus.com/inward/record.uri?eid=2-s2.0-85137143532&amp;doi=10.1145%2f3534678.3542618&amp;partnerID=40&amp;md5=47a28c4026dece976e538b10cbd8e894</t>
  </si>
  <si>
    <t>https://www.scopus.com/inward/record.uri?eid=2-s2.0-85141242822&amp;doi=10.1016%2fj.chaos.2022.112802&amp;partnerID=40&amp;md5=48344dce2750a3e3d5c38c3a332cb1af</t>
  </si>
  <si>
    <t>https://www.scopus.com/inward/record.uri?eid=2-s2.0-85144272001&amp;doi=10.1088%2f1742-5468%2faca0e5&amp;partnerID=40&amp;md5=b50f8064431e4a1f770ae31234ab6b4a</t>
  </si>
  <si>
    <t>https://www.scopus.com/inward/record.uri?eid=2-s2.0-85139079516&amp;partnerID=40&amp;md5=0a3c2394372c2d36a819e6356b0c25a2</t>
  </si>
  <si>
    <t>https://www.scopus.com/inward/record.uri?eid=2-s2.0-85164535532&amp;partnerID=40&amp;md5=9ae42f0c78ced2774550c0bce70c8f09</t>
  </si>
  <si>
    <t>https://www.scopus.com/inward/record.uri?eid=2-s2.0-85116550316&amp;doi=10.1016%2fj.eswa.2021.115992&amp;partnerID=40&amp;md5=5e77932381ec99e320c8db310f984a88</t>
  </si>
  <si>
    <t>https://www.scopus.com/inward/record.uri?eid=2-s2.0-85136913737&amp;partnerID=40&amp;md5=474fa9d7746e948ec64070e6a1a0faf3</t>
  </si>
  <si>
    <t>https://www.scopus.com/inward/record.uri?eid=2-s2.0-85121313890&amp;doi=10.11834%2fjig.200453&amp;partnerID=40&amp;md5=0b443a59ce5ed7f28eabb119488c91a4</t>
  </si>
  <si>
    <t>https://www.scopus.com/inward/record.uri?eid=2-s2.0-85130785478&amp;doi=10.1109%2fACCESS.2022.3177906&amp;partnerID=40&amp;md5=bf43939b9bba90f0774c5114dc435a3b</t>
  </si>
  <si>
    <t>https://www.scopus.com/inward/record.uri?eid=2-s2.0-85126267642&amp;partnerID=40&amp;md5=ed24d4f52accf22bee0876ff40d85629</t>
  </si>
  <si>
    <t>https://www.scopus.com/inward/record.uri?eid=2-s2.0-85126234786&amp;partnerID=40&amp;md5=c9ecf8275488f3703cd27e9e908bd867</t>
  </si>
  <si>
    <t>https://www.scopus.com/inward/record.uri?eid=2-s2.0-85090961952&amp;doi=10.1016%2fj.isprsjprs.2020.08.023&amp;partnerID=40&amp;md5=3f2736ad094cb1e5b560a597df78fa90</t>
  </si>
  <si>
    <t>https://www.scopus.com/inward/record.uri?eid=2-s2.0-85108957937&amp;doi=10.1145%2f3448016.3452803&amp;partnerID=40&amp;md5=6779441d5d5bb7afb43f4e4a461e411f</t>
  </si>
  <si>
    <t>https://www.scopus.com/inward/record.uri?eid=2-s2.0-85065927414&amp;partnerID=40&amp;md5=d4cbd94adf9baae3289c903ffd791d36</t>
  </si>
  <si>
    <t>https://www.scopus.com/inward/record.uri?eid=2-s2.0-85097179626&amp;partnerID=40&amp;md5=4be6d2243d27202b5c5faac0d3a6d29d</t>
  </si>
  <si>
    <t>https://www.scopus.com/inward/record.uri?eid=2-s2.0-85097392118&amp;partnerID=40&amp;md5=c2fb15bb31b54420562979e8c02b5b04</t>
  </si>
  <si>
    <t>A range of systems across the social and natural sciences generate data sets consisting of interactions between two distinct categories of items at various instances in time. Online shopping, for example, generates purchasing events of the form (user, product, time of purchase), and mutualistic interactions in plant-pollinator systems generate pollination events of the form (insect, plant, time of pollination). These data sets can be meaningfully modeled as temporal hypergraph snapshots in which multiple items within one category (i.e., online shoppers) share a hyperedge if they interacted with a common item in the other category (i.e., purchased the same product) within a given time window, allowing for the application of hypergraph analysis techniques. However, it is often unclear how to choose the number and duration of these temporal snapshots, which have a strong influence on the final hypergraph representations. Here we propose a principled nonparametric solution to this problem by extracting temporal hypergraph snapshots that optimally capture structural regularities in temporal event data according to the minimum description length principle. We demonstrate our methods on real and synthetic data sets, finding that they can recover planted artificial hypergraph structure in the presence of considerable noise and reveal meaningful activity fluctuations in human mobility data.  © 2024 American Physical Society.</t>
  </si>
  <si>
    <t>Graph Neural Networks (GNNs) have recently emerged as popular methods for learning representations of non-euclidean data often encountered in diverse areas ranging from chemistry to source code generation. Recently, researchers have focused on learning about temporal graphs, wherein the nodes and edges of a graph and their respective features may change over time. In this paper, we focus on a nascent domain: learning generative models on temporal graphs. We have noticed that papers on this topic so far have lacked a standard evaluation for all existing models on the same benchmark of datasets and a solid evaluation protocol. We present extensive comparative experiments on state-of-the-art models from the literature. Furthermore, we propose a rigorous evaluation protocol to assess temporal generation quality, utility, and privacy. © 2024 Copyright held by the owner/author(s).</t>
  </si>
  <si>
    <t>Background: Generating synthetic patient data is crucial for medical research, but common approaches build up on black-box models which do not allow for expert verification or intervention. We propose a highly available method which enables synthetic data generation from real patient records in a privacy preserving and compliant fashion, is interpretable and allows for expert intervention. Methods: Our approach ties together two established tools in medical informatics, namely OMOP as a data standard for electronic health records and Synthea as a data synthetization method. For this study, data pipelines were built which extract data from OMOP, convert them into time series format, learn temporal rules by 2 statistical algorithms (Markov chain, TARM) and 3 algorithms of causal discovery (DYNOTEARS, J-PCMCI+, LiNGAM) and map the outputs into Synthea graphs. The graphs are evaluated quantitatively by their individual and relative complexity and qualitatively by medical experts. Results: The algorithms were found to learn qualitatively and quantitatively different graph representations. Whereas the Markov chain results in extremely large graphs, TARM, DYNOTEARS, and J-PCMCI+ were found to reduce the data dimension during learning. The MultiGroupDirect LiNGAM algorithm was found to not be applicable to the problem statement at hand. Conclusion: Only TARM and DYNOTEARS are practical algorithms for real-world data in this use case. As causal discovery is a method to debias purely statistical relationships, the gradient-based causal discovery algorithm DYNOTEARS was found to be most suitable. © The Author(s) 2024.</t>
  </si>
  <si>
    <t>While Machine-Learning based network data analytics are now commonplace for many networking solutions, nonetheless, limited access to appropriate networking data has been an enduring challenge for many networking problems. Causes for lack of such data include complexity of data gathering, commercial sensitivity, as well as privacy and regulatory constraints. To overcome these challenges, we present a Diffusion-Model (DM) based end-to-end framework, NetDiffus, for synthetic network traffic generation which is one of the emerging topics in networking and computing system. NetDiffus first converts one-dimensional time-series network traffic into two-dimensional images, and then synthesizes representative images for the original data. We demonstrate that NetDiffus outperforms the state-of-the-art traffic generation methods based on Generative Adversarial Networks (GANs) by providing 66.4% increase in the fidelity of the generated data and an 18.1% increase in downstream machine learning tasks. We evaluate NetDiffus on seven diverse traffic traces and show that utilizing synthetic data significantly improves several downstream ML tasks including traffic fingerprinting, anomaly detection and traffic classification. The code has been included at https://github.com/Nirhoshan/NetDiffus. © 2024 Elsevier B.V.</t>
  </si>
  <si>
    <t>Sign language is a complex visual language, and automatic interpretations of sign language can facilitate communication involving deaf individuals. As one of the essential components of sign language, fingerspelling connects the natural spoken languages to the sign language and expands the scale of sign language vocabulary. In practice, it is challenging to analyze fingerspelling alphabets due to their signing speed and small motion range. The usage of synthetic data has the potential of further improving fingerspelling alphabets analysis at scale. In this paper, we evaluate how different video-based human representations perform in a framework for Alphabet Generation for American Sign Language (ASL). We tested three mainstream video-based human representations: two-stream inflated 3D ConvNet, 3D landmarks of body joints, and rotation matrices of body joints. We also evaluated the effect of different skeleton graphs and selected body joints. The generation process of ASL fingerspelling used a transformer-based Conditional Variational Autoencoder. To train the model, we collected ASL alphabet signing videos from 17 signers with dynamic alphabet signing. The generated alphabets were evaluated using automatic metrics of quality such as FID, and we also considered supervised metrics by recognizing the generated entries using Spatio-Temporal Graph Convolutional Networks. Our experiments show that using the rotation matrices of the upper body joints and the signing hand give the best results for the generation of ASL alphabet signing. Going forward, our goal is to produce articulated fingerspelling words by combining individual alphabets learned in this work.  © 2024 IEEE.</t>
  </si>
  <si>
    <t>Cell surface membrane deformations underpin fundamental biological processes, such as cell division, motility, or uptake of fluid or particles. Fast lightsheet timelapse microscopy enables imaging these dynamic processes in 3D with high spatial and temporal resolution, generating large imaging datasets that can be challenging to analyse, in part due to their size. We introduce heterogeneous graph convolutional neural networks (hGCNs) to analyse dynamic features on triangulated cell surfaces, reducing the dimensionality to 2D + time. Construction of the underlying spatio-temporal hypergraph employs spectral graph correspondence techniques to map surface nodes between time frames. The utility of hGCNs is demonstrated using synthetic data, showing the ability to discriminate between temporally varying features and to identify the growth stage of thin protrusions on the cell surface known as filopodia. We achieve robust performance, with an F1 score of 0.952 when classifying the life cycle of filopodia in simulated lung cancer cells. Our generic approach has potential for adaptation to numerous other dynamic features on cell surfaces. © 2024 IEEE.</t>
  </si>
  <si>
    <t>Collaborative urban traffic forecasting is an emerging area of research. Given the growing number of stakeholders and owners of traffic data, the collaboration between them is extremely important for successful citywide traffic forecasting and management. A stable collaboration between data owners requires a fair and efficient scheme for valuing contributions and distributing rewards. This study proposes the use of synthetic data sets both as a contribution and a reward in collaborative forecasting. This novel approach has several significant advantages over other collaboration schemes like federated model training: it is model-agnostic, privacy-preserving, flexible and enables market mechanisms for contribution valuation. The empirical part of the study illustrates the applicability of the proposed approach, using the real-world split of a road network between organisations. The experimental setup utilises an attention-based spatial-temporal graph neural network as a forecasting model and dynamic factors as an approach to synthetic data generation. The obtained results are analysed and found promising, and the advantages of the proposed approach are articulated. © 2024 The Authors. Published by ELSEVIER B.V.</t>
  </si>
  <si>
    <t>Functional brain networks represent dynamic and complex interactions among anatomical regions of interest (ROIs), providing crucial clinical insights for neural pattern discovery and disorder diagnosis. In recent years, graph neural networks (GNNs) have proven immense success and effectiveness in analyzing structured network data. However, due to the high complexity of data acquisition, resulting in limited training resources of neuroimaging data, GNNs, like all deep learning models, suffer from overfitting. Moreover, their capability to capture useful neural patterns for downstream prediction is also adversely affected. To address such challenge, this study proposes BrainSTEAM, an integrated framework featuring a spatio-temporal module that consists of an EdgeConv GNN model, an autoencoder network, and a Mixup strategy. In particular, the spatio-temporal module aims to dynamically segment the time series signals of the ROI features for each subject into chunked sequences. We leverage each sequence to construct correlation networks, thereby increasing the training data. Additionally, we employ the EdgeConv GNN to capture ROI connectivity structures, an autoencoder for data denoising, and mixup for enhancing model training through linear data augmentation. We evaluate our framework on two real-world neuroimaging datasets, ABIDE for Autism prediction and HCP for gender prediction. Extensive experiments demonstrate the superiority and robustness of BrainSTEAM when compared to a variety of existing models, showcasing the strong potential of our proposed mechanisms in generalizing to other studies for connectome-based fMRI analysis.  © 2023 The Authors.</t>
  </si>
  <si>
    <t>Business Process Management algorithms are heavily limited by suboptimal algorithmic implementations that cannot leverage state-of-the-art algorithms in the field of relational and graph databases. The recent interest in this discipline for various IT sectors (cybersecurity, Industry 4.0, and e-Health) calls for defining new algorithms improving the performance of existing ones. This paper focuses on generating several traces collected in a log from declarative temporal models by pre-emptively representing those as a specific type of finite state automaton: we show that this task boils down to a single-source multi-target graph traversal on such automaton where both the number of distinct paths to be visited as well as their length are bounded. This paper presents a novel algorithm running in polynomial time over the size of the declarative model represented as a graph and the desired log’s size. The final experiments show that the resulting algorithm outperforms the state-of-the-art data-aware and dataless sequence generations in business process management. © 2023 Copyright held by the owner/author(s).</t>
  </si>
  <si>
    <t>We propose causal recurrent variational autoencoder (CR-VAE), a novel generative model that is able to learn a Granger causal graph from a multivariate time series x and incorporates the underlying causal mechanism into its data generation process. Distinct to the classical recurrent VAEs, our CR-VAE uses a multi-head decoder, in which the p-th head is responsible for generating the p-th dimension of x (i.e., xp). By imposing a sparsity-inducing penalty on the weights (of the decoder) and encouraging specific sets of weights to be zero, our CR-VAE learns a sparse adjacency matrix that encodes causal relations between all pairs of variables. Thanks to this causal matrix, our decoder strictly obeys the underlying principles of Granger causality, thereby making the data generating process transparent. We develop a two-stage approach to train the overall objective. Empirically, we evaluate the behavior of our model in synthetic data and two real-world human brain datasets involving, respectively, the electroencephalography (EEG) signals and the functional magnetic resonance imaging (fMRI) data. Our model consistently outperforms state-of-the-art time series generative models both qualitatively and quantitatively. Moreover, it also discovers a faithful causal graph with similar or improved accuracy over existing Granger causality-based causal inference methods. Code of CR-VAE is publicly available at https://github.com/hongmingli1995/CR-VAE. Copyright © 2023, Association for the Advancement of Artificial Intelligence (www.aaai.org). All rights reserved.</t>
  </si>
  <si>
    <t>The proceedings contain 7 papers. The topics discussed include: the commercial side of graph analytics: big uses, big mistakes, big opportunities; graph feature management: impact, challenges and opportunities; better distributed graph query planning with scouting queries; EAGER: explainable question answering using knowledge graphs; going with the flow: real-time max-flow on asynchronous dynamic graphs; future-time temporal path queries; fast synthetic data-aware log generation for temporal declarative models; learning graph neural networks using exact compression; and a demonstration of interpretability methods for graph neural networks.</t>
  </si>
  <si>
    <t>While eco-friendly energy is attracting the public's interest in recent environmental issues, the market of lithium-ion batteries is expanding. Ensuring the safety and reliability of batteries is important in using batteries. Hence, it is essential to monitor the state of health (SOH) of the battery. Model-based SOH estimation has a limitation because battery data exhibit non-linear characteristics according to complex internal changes. To overcome this limitation, the data-based estimation of the SOH of the battery has been researched extensively. Data-based SOH estimation requires a large, high-quality battery dataset. In general, a battery dataset is built based on data obtained from experimental tests. However, this approach is time-dependent. To overcome this problem, data augmentation algorithms are used. TimeGAN is one of the time-series data augmentation algorithms that generate time-series data in the latent space while preserving temporal dynamics and static characteristics. To ensure stable training of data, TimeGAN generates synthetic data after data has been preprocessed using Min-Max scaling. In this study, various preprocessing techniques were applied for TimeGAN to generate more realistic synthetic data which was close to the original battery data. Results based on different preprocessing techniques were analyzed, and the preprocessing technique suitable for generating a battery dataset was proposed. Discriminative and predictive scores were used for evaluation with t-SNE graphs for visual comparison. When Max-Abs scaling and Normalization preprocessing techniques were applied, the discriminative score improved by 53.7 and 44.4%, respectively, compared to the conventional Min-Max scaling.  © 2023 IEEE.</t>
  </si>
  <si>
    <t>The proceedings contain 331 papers. The topics discussed include: METFORC: classification with meta-learning and multimodal stratified time series forest; exploring the faithfulness of synthetic data by generative models; few-shot image classification for rare ocular disease with an ensemble of pretrained feature extractors and a statistical classifier; SAttisUNet: UNet-like Swin transformer with attentive skip connections for enhanced medical image segmentation; benchmarking communicative reinforcement learning frameworks on multi-robot cooperative tasks; vision transformer-based classification for lung and colon cancer using histopathology images; relevant instance segmentation in American football practice images to aid risky tackle detection; optimizing multi commodity flow problem under uncertainty: a deep reinforcement learning approach; and temporal-based action graph with sequential pattern mining for churn detection: a Playtika case study.</t>
  </si>
  <si>
    <t>BACKGROUND: Large routinely collected data such as electronic health records (EHRs) are increasingly used in research, but the statistical methods and processes used to check such data for temporal data quality issues have not moved beyond manual, ad hoc production and visual inspection of graphs. With the prospect of EHR data being used for disease surveillance via automated pipelines and public-facing dashboards, automation of data quality checks will become increasingly valuable. FINDINGS: We generated 5,526 time series from 8 different EHR datasets and engaged &gt;2,000 citizen-science volunteers to label the locations of all suspicious-looking change points in the resulting graphs. Consensus labels were produced using density-based clustering with noise, with validation conducted using 956 images containing labels produced by an experienced data scientist. Parameter tuning was done against 670 images and performance calculated against 286 images, resulting in a final sensitivity of 80.4% (95% CI, 77.1%-83.3%), specificity of 99.8% (99.7%-99.8%), positive predictive value of 84.5% (81.4%-87.2%), and negative predictive value of 99.7% (99.6%-99.7%). In total, 12,745 change points were found within 3,687 of the time series. CONCLUSIONS: This large collection of labelled EHR time series can be used to validate automated methods for change point detection in real-world settings, encouraging the development of methods that can successfully be applied in practice. It is particularly valuable since change point detection methods are typically validated using synthetic data, so their performance in real-world settings cannot be assumed to be comparable. While the dataset focusses on EHRs and data quality, it should also be applicable in other fields. © The Author(s) 2023. Published by Oxford University Press GigaScience.</t>
  </si>
  <si>
    <t>The proceedings contain 19 papers. The special focus in this conference is on Hybrid Artificial Intelligence and Enterprise Modelling for Intelligent Information Systems. The topics include: A Linked Data Based Advanced Credit Rationale; interactive Machine Learning of Knowledge Graph-Based Explainable Process Analysis; a Weighted Knowledge Graph for Representing the Results of a Systematic Literature Review; Knowledge Engineering Formalizing DECENT Meta Model; using Knowledge Graphs for Record Linkage: Challenges and Opportunities; employing Knowledge Graphs for Capturing Semantic Aspects of Robotic Process Automation; Regulation-Friendly Privacy-Preserving Blockchain Based on zk-SNARK; blockchain Governance Design a Computer Science Perspective; The MEV Saga: Can Regulation Illuminate the Dark Forest?; enriching Enterprise Architecture Models with Healthcare Domain Knowledge; supporting Reuse of Business Process Models by Semantic Annotation; position Paper - Hybrid Artificial Intelligence for Realizing a Leadership Assistant for Platform-Based Leadership Consulting; developing a Maturity Assessment Tool to Enable the Management of Artificial Intelligence for Organizations; mapping Time-Series Data on Process Patterns to Generate Synthetic Data; Towards Crisis Response and Intervention Using Knowledge Graphs - CRISP Case Study; The RAI Way: A Technical Analysis and Design Method for Building Enterprise Semantic Layers; Towards Recommendations for Knowledge-Graph-Based Requirements Management in Construction: A Report on the EU DigiChecks Project.</t>
  </si>
  <si>
    <t>Background: Large routinely collected data such as electronic health records (EHRs) are increasingly used in research, but the statistical methods and processes used to check such data for temporal data quality issues have not moved beyond manual, ad hoc production and visual inspection of graphs. With the prospect of EHR data being used for disease surveillance via automated pipelines and public-facing dashboards, automation of data quality checks will become increasingly valuable. Findings: We generated 5,526 time series from 8 different EHR datasets and engaged &gt;2,000 citizen-science volunteers to label the locations of all suspicious-looking change points in the resulting graphs. Consensus labels were produced using density-based clustering with noise, with validation conducted using 956 images containing labels produced by an experienced data scientist. Parameter tuning was done against 670 images and performance calculated against 286 images, resulting in a final sensitivity of 80.4% (95% CI, 77.1%-83.3%), specificity of 99.8% (99.7%-99.8%), positive predictive value of 84.5% (81.4%-87.2%), and negative predictive value of 99.7% (99.6%-99.7%). In total, 12,745 change points were found within 3,687 of the time series. Conclusions: This large collection of labelled EHR time series can be used to validate automated methods for change point detection in real-world settings, encouraging the development of methods that can successfully be applied in practice. It is particularly valuable since change point detection methods are typically validated using synthetic data, so their performance in real-world settings cannot be assumed to be comparable. While the dataset focusses on EHRs and data quality, it should also be applicable in other fields. © 2023 The Author(s). Published by Oxford University Press GigaScience.</t>
  </si>
  <si>
    <t>In the last years, energy markets have shown a great volatility with high prices' variations. Most of the machine learning algorithms implemented to forecast the market evolution and to optimize the trading strategies are data-driven and data-intensive; thus, it is important to have a sufficient number of training samples to avoid the overfitting issue. In this context, Generative Adversarial Networks (GANs) have become very popular in the recent years, especially in computer vision, where they are used to manipulate and generate video and images. This methodology has been applied also for time series analysis, especially in the financial context for generating synthetic data. In this work, the application of GANs for generating intraday open-high-low-close prices and related traded volumes for European Carbon Emissions Allowances futures. In particular, a new encoding and decoding process has been introduced to allow the generation of longer time series with significantly higher quality, making the generated data useful for practical applications.  © 2023 IEEE.</t>
  </si>
  <si>
    <t>Network traffic data is key in addressing several important cybersecurity problems, such as intrusion and malware detection, and network management problems, such as application and device identification. However, it poses several challenges to building machine learning models. Two main challenges are manual feature engineering and scarcity of training data due to privacy and security concerns. In this tutorial we provide a comprehensive review of recent advances to address these challenges through use of deep learning. Network traffic data can be cast as a multivariate time-series (sequential) data, attributed graph data, or image data to leverage representation learning architectures available in deep learning. To preserve data privacy, generative methods, such as GANs and autoregressive neural architectures can be used to synthesize realistic network traffic data. In particular, our tutorial is organized into three parts: 1) we describe network traffic data, applications to security and network management, and challenges; 2) we present different deep learning architectures used for representation learning instead of feature engineering of network traffic data; and, 3) we describe use of generative neural models for synthetic generation of network traffic data.  © 2022 Owner/Author.</t>
  </si>
  <si>
    <t>As a crucial method of the feature extraction, the complexity measurement has a wide range of applications in the field of nonlinear time series research. This paper presents an innovative multiscale sample entropy for measuring the complexity of time series based on the horizontal visibility graph. The modified multiscale sample entropy has been proven to be robust on two artificial time series, and is capable of reducing the undefined entropy generated as a result of the increase in scale. We apply the modified multiscale sample entropy to the diagnosis of epilepsy. Using a novel data processing algorithm that combines frequency bands with decomposition, feature vectors are constructed for Electroencephalography (EEG) signals through the proposed entropy calculation algorithm, and different classes of subjects are categorized based on K-Nearest Neighbors, Support Vector Machine, and Artificial Neural Network. In the meantime, we propose an improved horizontal visibility graph-based multiscale cross-sample entropy method to measure the synchronization between two time series. It shows robustness in artificial data and decreases the appearance of undefined entropy to a certain extent. It is possible to extract the characteristics of sleep EEG signals and divide the subjects’ sleep stages using this method. Furthermore, this paper introduces the surrogate data test and the proposed methods have the ability to detect the nonlinearity and synchronization in simulations and in real-world experiments. Experimental results demonstrate that the two proposed frameworks are effective in monitoring human health and in assessing physical status through EEG signals. © 2022 Elsevier Ltd</t>
  </si>
  <si>
    <t>The proceedings contain 23 papers. The topics discussed include: distinguishing fake and real news of twitter data with the help of machine learning techniques; self-adapting design and maintenance of multi-model databases; a comparative study of three deep learning models for PM2.5 interpolation; identification of weak signals in a temporal graph of social interactions; provenance in spatial queries; feature analysis of Indus Valley and Dravidian language scripts with similarity matrices; a formal framework for data lakes based on category theory; a formal framework for data lakes based on category theory; synthetic data generation: a comparative study; experimental evaluation of low code development, Java Swing, and JavaScript programming; and applications of majority judgement for winner selection in Eurovision song contest.</t>
  </si>
  <si>
    <t>Generative models for network time series (also known as dynamic graphs) have tremendous potential in fields such as epidemiology, biology and economics, where complex graph-based dynamics are core objects of study. Designing flexible and scalable generative models is a very challenging task due to the high dimensionality of the data, as well as the need to represent temporal dependencies and marginal network structure. Here we introduce DAMNETS, a scalable deep generative model for network time series. DAMNETS outperforms competing methods on all of our measures of sample quality, over both real and synthetic data sets. © 2022 Proceedings of Machine Learning Research. All rights reserved.</t>
  </si>
  <si>
    <t>Reliable traffic volume forecasting remains a significant challenge due to the unstable variation patterns of traffic volume and the irregular spatial structure of traffic network. Most of previous works have neglected the implicit variation patterns of traffic volume, failing to model its spatiotemporal dependencies comprehensively. Although graph convolutional networks have been widely applied to traffic volume forecasting, most are constructed using simple graphs with limited representations, which may restrict their ability to extract deep spatial features. Therefore, a novel deep learning model is proposed in this study to address these deficiencies for improving the forecasting accuracy of traffic volume. First, a new spatiotemporal dependencies generative adversarial network is proposed to generate synthetic data (i.e., synthetic traffic volume) by using traffic speed and occupancy to construct latent variables (i.e., the input of generator in generative adversarial network), which is beneficial for capturing the implicit variation patterns of traffic volume. Then, a new multi-graph convolutional network is proposed to explore and model the heterogeneous correlations among sensors from multiple perspectives, so as to facilitate the effective extraction of deep non-Euclidean spatial features. Finally, experiments on two real-world datasets demonstrate that the proposed model makes accurate traffic volume forecasting and outperforms other state-of-the-art methods. © 2021 Elsevier Ltd</t>
  </si>
  <si>
    <t>To achieve zero touch automation in next generation wireless networks through artificial intelligence (AI), large amounts of training data is required. This training data is publicly unavailable and is a major hindrance in research on AI applications to wireless communication. One solution is using limited real data to generate synthetic data that can be used in lieu of real data. Generative Adversarial Networks (GAN) have been used successfully for this purpose. In this paper, we choose two publicly available GAN - based models and one deep learning - based auto-regressive model. We then compare their performance at generating synthetic time-series wireless network traffic data. We also assess the impact of data scarcity on the generated data quality by varying the level of data available to the models for training. Moreover, in order to assess the usefulness of this generated data, we compare the performance of a gradient boosting regressor trained solely on generated data, real data, and a mix of both at forecasting network traffic. Our experiments show that the GANs perform better than the auto-regressive approach in each aspect considered in this work and forecasting models trained to predict network load based on data generated by these GANs yield error rates comparable to models trained on real data. Finally, augmenting small amounts of real data with generated data leads to minor performance gains in some cases.  © 2013 IEEE.</t>
  </si>
  <si>
    <t>One main challenge in detecting built-up land cover changes using synthetic aperture radar (SAR) instruments is that complicated backscattering behaviours and the superimposition of speckles on rich textures cause a large number of false alarms. Using trajectory-based analyses from time-series SAR imagery can mitigate false alarms since the temporal variability in backscattering during construction improves discrimination capability. This paper presents an approach towards the detection of built-up land change based on a single-channel SAR stack. The proposed methodology includes the generation of a change indicator, the Markov modelling procedure and the delineation of changes over built-up areas. The generation of the change indicator aims to provide a feature with abundant contrast between changed and stable areas, a high signal-to-noise ratio and detail preservation. To this end, all temporal information is converted into a map of the coefficient of variation. After error removal, this change detector is combined with a Markov random field (MRF) criterion function. Rather than MRF modelling by iteration with very complex stochastic models, we propose using SAR temporal trajectory under a hypothesis test framework and interferometric coherence series to establish conditional density for each class. Then, the Graph-cuts theory is applied to delineate the boundary between changed and stable areas, followed by a binary classification procedure based on speckle divergence to exclude natural areas. The technique is tested on both synthetic data and two TerraSAR-X datasets covering representative areas with rich texture. We found that in a complex built environment that is challenging for classical change indicators and state-of-the-art techniques, the presented method can provide smaller overall error with better detail preservation. © 2020 International Society for Photogrammetry and Remote Sensing, Inc. (ISPRS)</t>
  </si>
  <si>
    <t>Recent advances in Computer Vision and Deep Learning have made possible the efficient extraction of structured information from frames of video feeds. As such, a stream of objects and their associated classes along with unique object identifiers derived via object tracking can be generated, providing unique objects as they are captured across frames. In this paper we initiate a study of temporal queries involving objects and their co-occurrences in video feeds. For example, queries that identify video segments during which the same two red cars and the same two humans appear jointly for five minutes are of interest to many applications ranging from law enforcement to security and safety. We take the first step and define such queries in a way that they incorporate certain physical aspects of video capture such as object occlusion. We present an architecture consisting of three layers, namely object detection/tracking, intermediate data generation, and query evaluation. We propose two techniques, Marked Frame Set (MFS) and Sparse State Graph (SSG), to organize all detected objects in the intermediate data generation layer, which effectively, given the queries, minimizes the number of objects and frames that have to be considered during query evaluation. We also introduce an algorithm called SSG-CM that processes incoming frames against the SSG and efficiently prunes objects and frames unrelated to query evaluation, while maintaining all states required for succinct query evaluation. We present the results of a thorough experimental evaluation utilizing both real and synthetic data, establishing the trade-offs between MFS and SSG. We stress various parameters of interest in our evaluation and demonstrate that the proposed query evaluation methodology coupled with the proposed algorithms is capable to evaluate temporal queries over video feeds efficiently, achieving orders of magnitude performance benefits. © 2021 ACM.</t>
  </si>
  <si>
    <t xml:space="preserve">                             The proceedings contain 57 papers. The special focus in this conference is on Soft Computing Models in Industrial and Environmental Applications. The topics include: Framework for the Detection of Physiological Parameters with Musical Stimuli Based on IoT; edge Computing Architectures in Industry 4.0: A General Survey and Comparison; predictive Maintenance from Event Logs Using Wavelet-Based Features: An Industrial Application; building Robust Prediction Models for Defective Sensor Data Using Artificial Neural Networks; ensemble Deep Learning for Forecasting                              222                             Rn Radiation Level at Canfranc Underground Laboratory; search of Extreme Episodes in Urban Ozone Maps; a Novel Heuristic Approach for the Simultaneous Selection of the Optimal Clustering Method and Its Internal Parameters for Time Series Data; A Hybrid Approach for Short-Term NO                             2                              Forecasting: Case Study of Bay of Algeciras (Spain); context-Aware Data Mining vs Classical Data Mining: Case Study on Predicting Soil Moisture; analysis and Application of Normalization Methods with Supervised Feature Weighting to Improve K-means Accuracy; DTW as Alignment Function in the Context of Time Series Balancing; feature Clustering to Improve Fall Detection: A Preliminary Study; creation of Synthetic Data with Conditional Generative Adversarial Networks; data Selection to Improve Anomaly Detection in a Component-Based Robot; Addressing Low Dimensionality Feature Subset Selection: ReliefF(-k) or Extended Correlation-Based Feature Selection(eCFS)?; a Predictive Maintenance Model Using Recurrent Neural Networks; prototypical Metric Transfer Learning for Continuous Speech Keyword Spotting with Limited Training Data; characteristic of WiFi Network Based on Space Model with Using Turning Bands Co-simulation Method; Mobile Architecture for Forest Fire Simulation Using PhyFire-HDWind Model.                         </t>
  </si>
  <si>
    <t>The proceedings contain 34 papers. The special focus in this conference is on Intelligent Data Engineering and Automated Learning. The topics include: Network Analysis for Fraud Detection in Portuguese Public Procurement; biased Language Detection in Court Decisions; a One-by-One Method for Community Detection in Attributed Networks; data Pre-processing and Data Generation in the Student Flow Case Study; a Hybrid Approach to the Analysis of a Collection of Research Papers; Sequential Self-tuning Clustering for Automatic Delimitation of Coastal Upwelling on SST Images; time Series Clustering for Knowledge Discovery on Metal Additive Manufacturing; quaternion Neural Networks: State-of-the-Art and Research Challenges; a Solar Thermal System Temperature Prediction of a Smart Building for Data Recovery and Security Purposes; a Fault Detection System for Power Cells During Capacity Confirmation Test Through a Global One-Class Classifier; a Deep Metric Neural Network with Disentangled Representation for Detecting Smartphone Glass Defects; improving Performance of Recommendation System Architecture; automated Learning of In-vehicle Noise Representation with Triplet-Loss Embedded Convolutional Beamforming Network; Sequence Mining for Automatic Generation of Software Tests from GUI Event Traces; enhanced Credit Prediction Using Artificial Data; deep Learning Based Algorithms for Welding Edge Points Detection; detecting Performance Anomalies in the Multi-component Software a Collaborative Robot; prediction of Small-Wind Turbine Performance from Time Series Modelling Using Intelligent Techniques; review of Trends in Automatic Human Activity Recognition Using Synthetic Audio-Visual Data; atmospheric Tomography Using Convolutional Neural Networks; workshop on Machine Learning in Smart Mobility; Driver Monitoring System Based on CNN Models: An Approach for Attention Level Detection; preface.</t>
  </si>
  <si>
    <t>Dynamic graphs; Evaluation framework; Synthetic data generation</t>
  </si>
  <si>
    <t>Causal Discovery; Constraint-based Causal Discovery; Discrete Time Series; DYNOTEARS; Gradient-Based Causal Discovery; Graphical Models; Standardized Electronic Health Records; Structural Equation Models; Synthetic Data Generation; Temporal Association Rule Mining (TARM)</t>
  </si>
  <si>
    <t>Diffusion models; ML classification; Network traffic generation; Synthetic data generation</t>
  </si>
  <si>
    <t>Data pipeline; Decision support tools; Machine learning; Model testing and validation; Neural networks; Reef modelling; Synthetic data; Synthetic data vault</t>
  </si>
  <si>
    <t>attention mechanisms; collaborative learning; deep learning; graph neural networks; synthetic data</t>
  </si>
  <si>
    <t>Brain Connectome Analysis; Neuroimaging Studies; Synthetic Data Generation</t>
  </si>
  <si>
    <t>Business Process Management; DFA; Graph Automata; Synthetic Data Generator</t>
  </si>
  <si>
    <t>preprocessing; Synthetic data; TimeGAN</t>
  </si>
  <si>
    <t>anomalies; change point detection; data quality; time series</t>
  </si>
  <si>
    <t>Graphical models; inverse spectral density matrices; simulated annealing; structural changes; variational inference</t>
  </si>
  <si>
    <t>Data Augmentation; Energy Markets; European Carbon Emissions Allowances; GAN; Machine Learning; Time Series</t>
  </si>
  <si>
    <t>computer security; data science; deep learning; machine learning; network traffic data; representation learning; synthetic data generation</t>
  </si>
  <si>
    <t>EEG; Horizontal visibility graph; Multiscale cross-sample entropy; Multiscale sample entropy</t>
  </si>
  <si>
    <t>computational biology; epidemic modelling; network dynamics; random graphs, networks</t>
  </si>
  <si>
    <t>Generative adversarial network; Multi-graph convolutional network; Synthetic data; Traffic volume forecasting; Traffic volume, speed, and occupancy</t>
  </si>
  <si>
    <t>Channel augmentation; Differential invariant features; Generalization ability; Motion analysis; Skeleton-based action recognition; Spatio-temporal dual affine transformation</t>
  </si>
  <si>
    <t>DoppleGANger; forecast analysis; GAN; Machine learning; PAR; time series; TimeGAN</t>
  </si>
  <si>
    <t>Built-up land change; Coefficient of variation; Markov random field; Synthetic aperture radar; Time series</t>
  </si>
  <si>
    <t>data management; temporal queries; video queries</t>
  </si>
  <si>
    <t>Total</t>
  </si>
  <si>
    <t>Unique</t>
  </si>
  <si>
    <t>ACM_1</t>
  </si>
  <si>
    <t>ACM_2</t>
  </si>
  <si>
    <t>IEEE_1</t>
  </si>
  <si>
    <t>IEEE_2</t>
  </si>
  <si>
    <t>IEEE_3</t>
  </si>
  <si>
    <t>IEEE_4</t>
  </si>
  <si>
    <t>IEEE_5</t>
  </si>
  <si>
    <t>IEEE_6</t>
  </si>
  <si>
    <t>IEEE_7</t>
  </si>
  <si>
    <t>IEEE_8</t>
  </si>
  <si>
    <t>IEEE_9</t>
  </si>
  <si>
    <t>IEEE_10</t>
  </si>
  <si>
    <t>IEEE_11</t>
  </si>
  <si>
    <t>IEEE_12</t>
  </si>
  <si>
    <t>IEEE_13</t>
  </si>
  <si>
    <t>IEEE_14</t>
  </si>
  <si>
    <t>IEEE_15</t>
  </si>
  <si>
    <t>IEEE_16</t>
  </si>
  <si>
    <t>IEEE_17</t>
  </si>
  <si>
    <t>IEEE_18</t>
  </si>
  <si>
    <t>IEEE_19</t>
  </si>
  <si>
    <t>IEEE_20</t>
  </si>
  <si>
    <t>IEEE_21</t>
  </si>
  <si>
    <t>IEEE_22</t>
  </si>
  <si>
    <t>IEEE_23</t>
  </si>
  <si>
    <t>IEEE_24</t>
  </si>
  <si>
    <t>IEEE_25</t>
  </si>
  <si>
    <t>IEEE_26</t>
  </si>
  <si>
    <t>IEEE_27</t>
  </si>
  <si>
    <t>IEEE_28</t>
  </si>
  <si>
    <t>IEEE_29</t>
  </si>
  <si>
    <t>IEEE_30</t>
  </si>
  <si>
    <t>IEEE_31</t>
  </si>
  <si>
    <t>IEEE_32</t>
  </si>
  <si>
    <t>IEEE_33</t>
  </si>
  <si>
    <t>IEEE_34</t>
  </si>
  <si>
    <t>IEEE_35</t>
  </si>
  <si>
    <t>IEEE_36</t>
  </si>
  <si>
    <t>IEEE_37</t>
  </si>
  <si>
    <t>IEEE_38</t>
  </si>
  <si>
    <t>IEEE_39</t>
  </si>
  <si>
    <t>IEEE_40</t>
  </si>
  <si>
    <t>IEEE_41</t>
  </si>
  <si>
    <t>IEEE_42</t>
  </si>
  <si>
    <t>IEEE_43</t>
  </si>
  <si>
    <t>IEEE_44</t>
  </si>
  <si>
    <t>IEEE_45</t>
  </si>
  <si>
    <t>IEEE_46</t>
  </si>
  <si>
    <t>IEEE_47</t>
  </si>
  <si>
    <t>IEEE_48</t>
  </si>
  <si>
    <t>IEEE_49</t>
  </si>
  <si>
    <t>IEEE_50</t>
  </si>
  <si>
    <t>IEEE_51</t>
  </si>
  <si>
    <t>IEEE_52</t>
  </si>
  <si>
    <t>IEEE_53</t>
  </si>
  <si>
    <t>IEEE_54</t>
  </si>
  <si>
    <t>IEEE_55</t>
  </si>
  <si>
    <t>IEEE_56</t>
  </si>
  <si>
    <t>IEEE_57</t>
  </si>
  <si>
    <t>Scopus_1</t>
  </si>
  <si>
    <t>Scopus_3</t>
  </si>
  <si>
    <t>Scopus_6</t>
  </si>
  <si>
    <t>Scopus_9</t>
  </si>
  <si>
    <t>Scopus_10</t>
  </si>
  <si>
    <t>Scopus_14</t>
  </si>
  <si>
    <t>Scopus_15</t>
  </si>
  <si>
    <t>Scopus_16</t>
  </si>
  <si>
    <t>Scopus_17</t>
  </si>
  <si>
    <t>Scopus_18</t>
  </si>
  <si>
    <t>Scopus_19</t>
  </si>
  <si>
    <t>Scopus_20</t>
  </si>
  <si>
    <t>Scopus_21</t>
  </si>
  <si>
    <t>Scopus_23</t>
  </si>
  <si>
    <t>Scopus_27</t>
  </si>
  <si>
    <t>Scopus_34</t>
  </si>
  <si>
    <t>Scopus_36</t>
  </si>
  <si>
    <t>Scopus_37</t>
  </si>
  <si>
    <t>Scopus_42</t>
  </si>
  <si>
    <t>Scopus_44</t>
  </si>
  <si>
    <t>Scopus_45</t>
  </si>
  <si>
    <t>Scopus_46</t>
  </si>
  <si>
    <t>Scopus_52</t>
  </si>
  <si>
    <t>Scopus_53</t>
  </si>
  <si>
    <t>Scopus_56</t>
  </si>
  <si>
    <t>Scopus_57</t>
  </si>
  <si>
    <t>Scopus_68</t>
  </si>
  <si>
    <t>Scopus_71</t>
  </si>
  <si>
    <t>Scopus_72</t>
  </si>
  <si>
    <t>Scopus_73</t>
  </si>
  <si>
    <t>Scopus_75</t>
  </si>
  <si>
    <t>Scopus_76</t>
  </si>
  <si>
    <t>Scopus_77</t>
  </si>
  <si>
    <t>Scopus_78</t>
  </si>
  <si>
    <t>Scopus_79</t>
  </si>
  <si>
    <t>Scopus_80</t>
  </si>
  <si>
    <t>Scopus_81</t>
  </si>
  <si>
    <t>Scopus_82</t>
  </si>
  <si>
    <t>Scopus_83</t>
  </si>
  <si>
    <t>Scopus_84</t>
  </si>
  <si>
    <t>Scopus_90</t>
  </si>
  <si>
    <t>Scopus_91</t>
  </si>
  <si>
    <t>Scopus_93</t>
  </si>
  <si>
    <t>Scopus_94</t>
  </si>
  <si>
    <t>Scopus_96</t>
  </si>
  <si>
    <t>Scopus_97</t>
  </si>
  <si>
    <t>Scopus_104</t>
  </si>
  <si>
    <t>Scopus_110</t>
  </si>
  <si>
    <t>Scopus_111</t>
  </si>
  <si>
    <t>Scopus_115</t>
  </si>
  <si>
    <t>Scopus_117</t>
  </si>
  <si>
    <t>Scopus_118</t>
  </si>
  <si>
    <t>Scopus_119</t>
  </si>
  <si>
    <t>Scopus_120</t>
  </si>
  <si>
    <t>Scopus_121</t>
  </si>
  <si>
    <t>Scopus_123</t>
  </si>
  <si>
    <t>Scopus_125</t>
  </si>
  <si>
    <t>Scopus_126</t>
  </si>
  <si>
    <t>Scopus_130</t>
  </si>
  <si>
    <t>Scopus_131</t>
  </si>
  <si>
    <t>Scopus_133</t>
  </si>
  <si>
    <t>Scopus_136</t>
  </si>
  <si>
    <t>Scopus_139</t>
  </si>
  <si>
    <t>Scopus_140</t>
  </si>
  <si>
    <t>Scopus_143</t>
  </si>
  <si>
    <t>Scopus_144</t>
  </si>
  <si>
    <t>Scopus_146</t>
  </si>
  <si>
    <t>Scopus_147</t>
  </si>
  <si>
    <t>Scopus_149</t>
  </si>
  <si>
    <t>Scopus_152</t>
  </si>
  <si>
    <t>Scopus_153</t>
  </si>
  <si>
    <t>Scopus_155</t>
  </si>
  <si>
    <t>Scopus_159</t>
  </si>
  <si>
    <t>Scopus_162</t>
  </si>
  <si>
    <t>Scopus_163</t>
  </si>
  <si>
    <t>Scopus_164</t>
  </si>
  <si>
    <t>Scopus_166</t>
  </si>
  <si>
    <t>Scopus_169</t>
  </si>
  <si>
    <t>Scopus_173</t>
  </si>
  <si>
    <t>Scopus_175</t>
  </si>
  <si>
    <t>Scopus_180</t>
  </si>
  <si>
    <t>Scopus_183</t>
  </si>
  <si>
    <t>Scopus_186</t>
  </si>
  <si>
    <t>Scopus_187</t>
  </si>
  <si>
    <t>Scopus_188</t>
  </si>
  <si>
    <t>Scopus_189</t>
  </si>
  <si>
    <t>Scopus_190</t>
  </si>
  <si>
    <t>Scopus_192</t>
  </si>
  <si>
    <t>Scopus_193</t>
  </si>
  <si>
    <t>Scopus_194</t>
  </si>
  <si>
    <t>Scopus_195</t>
  </si>
  <si>
    <t>Scopus_196</t>
  </si>
  <si>
    <t>Scopus_197</t>
  </si>
  <si>
    <t>Scopus_201</t>
  </si>
  <si>
    <t>Scopus_202</t>
  </si>
  <si>
    <t>Scopus_205</t>
  </si>
  <si>
    <t>Scopus_210</t>
  </si>
  <si>
    <t>Scopus_212</t>
  </si>
  <si>
    <t>Scopus_220</t>
  </si>
  <si>
    <t>Scopus_223</t>
  </si>
  <si>
    <t>Scopus_228</t>
  </si>
  <si>
    <t>Scopus_229</t>
  </si>
  <si>
    <t>Scopus_234</t>
  </si>
  <si>
    <t>Scopus_237</t>
  </si>
  <si>
    <t>Scopus_243</t>
  </si>
  <si>
    <t>Scopus_245</t>
  </si>
  <si>
    <t>Scopus_254</t>
  </si>
  <si>
    <t>Scopus_255</t>
  </si>
  <si>
    <t>Scopus_263</t>
  </si>
  <si>
    <t>Scopus_267</t>
  </si>
  <si>
    <t>Scopus_275</t>
  </si>
  <si>
    <t>Scopus_277</t>
  </si>
  <si>
    <t>Scopus_280</t>
  </si>
  <si>
    <t>Scopus_282</t>
  </si>
  <si>
    <t>Scopus_287</t>
  </si>
  <si>
    <t>Scopus_288</t>
  </si>
  <si>
    <t>Scopus_291</t>
  </si>
  <si>
    <t>Scopus_292</t>
  </si>
  <si>
    <t>Zhu, K; Zhang, S; Li, JS; Zhou, D; Dai, H; Hu, ZQ</t>
  </si>
  <si>
    <t>Petricioli, L; Humski, L; Vranic, M; Pintar, D</t>
  </si>
  <si>
    <t>Yang, XF; Castillo, ED; Zou, Y; Wotherspoon, L</t>
  </si>
  <si>
    <t>Volgin, IV; Batyr, PA; Matseevich, AV; Dobrovskiy, AY; Andreeva, MV; Nazarychev, VM; Larin, SV; Goikhman, MY; Vizilter, YV; Askadskii, AA; Lyulin, SV</t>
  </si>
  <si>
    <t>Yu, HY; She, CY; Hu, YK; Wang, G; Wang, R; Vucetic, B; Li, YH</t>
  </si>
  <si>
    <t>Hubert, N; Monnin, P; d'Aquin, M; Monticolo, D; Brun, A</t>
  </si>
  <si>
    <t>Bonifati, A; Holubová, I; Prat-Pérez, A; Sakr, S</t>
  </si>
  <si>
    <t>Bleker, L; Pastrana, R; Ohlbrock, PO; D'Acunto, P</t>
  </si>
  <si>
    <t>Minder, M; Farsijani, Z; Shah, D; El Gheche, M; Frossard, P</t>
  </si>
  <si>
    <t>Sun, HA; He, Q; Qi, SL; Yao, YD; Teng, YY</t>
  </si>
  <si>
    <t>Andersson, E; Björklund, J; Drewes, F; Jonsson, A</t>
  </si>
  <si>
    <t>Ren, WL; Ghazinour, K; Lian, X</t>
  </si>
  <si>
    <t>Das, M; Alphonse, PJA; Kamalanathan, S</t>
  </si>
  <si>
    <t>Zhu, JY; Chen, XY; Yang, H; Nie, FP</t>
  </si>
  <si>
    <t>Röder, M; Nguyen, PTS; Conrads, F; da Silva, AAM; Ngomo, ACN</t>
  </si>
  <si>
    <t>Zhou, J; Luo, XL; Nie, FP; He, XS</t>
  </si>
  <si>
    <t>Biswas, S; Riba, P; Lladós, J; Pal, U</t>
  </si>
  <si>
    <t>Himmelhuber, A; Joblin, M; Ringsquandl, M; Runkler, T</t>
  </si>
  <si>
    <t>Kooverjee, N; James, S; van Zyl, T</t>
  </si>
  <si>
    <t>Dhamo, H; Manhardt, F; Navab, N; Tombari, F</t>
  </si>
  <si>
    <t>Ayday, E; Yoo, Y; Halimi, A</t>
  </si>
  <si>
    <t>Trivedi, P; Lubana, ES; Heimann, M; Koutra, D; Thiagarajan, JJ</t>
  </si>
  <si>
    <t>Morin, L; Danelljan, M; Agea, MI; Nassar, A; Weber, V; Meijer, I; Staar, P; Yu, F</t>
  </si>
  <si>
    <t>Zhang, YR; Ding, SF; Wang, YR; Hou, HW</t>
  </si>
  <si>
    <t>Nguyen, TT; Ren, Z; Nguyen, TT; Jo, J; Nguyen, QVH; Yin, HZ</t>
  </si>
  <si>
    <t>Crocker, R; Robson, BJ; Ani, C; Anthony, K; Iwanaga, T</t>
  </si>
  <si>
    <t>Prakash, A; Debnath, S; Lafleche, JF; Cameracci, E; State, G; Birchfield, S; Law, MT</t>
  </si>
  <si>
    <t>Wang, JS; Li, ZY; Long, QQ; Zhang, WY; Song, GJ; Shi, C</t>
  </si>
  <si>
    <t>Dirk, R; Fischer, JL; Schardt, S; Ankenbrand, MJ; Fischer, SC</t>
  </si>
  <si>
    <t>Mostofi, F; Tokdemir, OB; Togan, V</t>
  </si>
  <si>
    <t>Saha, A; Sheshadri, S; Datta, S; Ganguly, N; Makhija, D; Patel, P</t>
  </si>
  <si>
    <t>Forrest, R; Krofcheck, D; John, E; Galloway, H; Sorensen, A; Jameson, C; Aubry, C; Prasadan, A; Galasso, J; Goodman, E</t>
  </si>
  <si>
    <t>Dowrick, T; Chen, L; Ramalhinho, J; Puyal, JGB; Clarkson, MJ</t>
  </si>
  <si>
    <t>Compton, S; Greenewald, K; Katz, D; Kocaoglu, M</t>
  </si>
  <si>
    <t>Wang, S; Wang, YC; Bai, XW; Li, DY</t>
  </si>
  <si>
    <t>Yang, C; Xie, HS; Tian, HH; Yu, YL</t>
  </si>
  <si>
    <t>Nguyen, NT; Le, TN; Le-Minh, KH; Le, KH</t>
  </si>
  <si>
    <t>Sen, Ö; Malskorn, P; Glomb, S; Hacker, I; Henze, M; Ulbig, A</t>
  </si>
  <si>
    <t>Yu, QC; Yu, ZW; Wang, Z; Wang, XF; Wang, YZ</t>
  </si>
  <si>
    <t>Shah, F; Castelltort, A; Laurent, A</t>
  </si>
  <si>
    <t>Chung, J; Varjavand, B; Arroyo-Relión, J; Alyakin, A; Agterberg, J; Tang, M; Priebe, CE; Vogelstein, JT</t>
  </si>
  <si>
    <t>Jiang, K; Cao, T; Zhu, L; Sun, QD</t>
  </si>
  <si>
    <t>Grattarola, D; Zambon, D; Livi, L; Alippi, C</t>
  </si>
  <si>
    <t>Gogoshin, G; Branciamore, S; Rodin, AS</t>
  </si>
  <si>
    <t>Filshtein, TJ; Li, X; Zimmerman, SC; Ackley, SF; Glymour, MM; Power, MC</t>
  </si>
  <si>
    <t>Zhang, BC; Zhang, XL; Du, WJ; Song, ZK; Zhang, GZ; Zhang, GQ; Wang, Y; Chen, X; Jiang, J; Luo, Y</t>
  </si>
  <si>
    <t>Jin, W; Tang, XF; Jiang, HM; Li, Z; Zhang, DQ; Tang, JL</t>
  </si>
  <si>
    <t>Barauskas, A; Brilingaite, A; Bukauskas, L; Ceikute, V; Civilis, A; Saltenis, S</t>
  </si>
  <si>
    <t>Jiang, C; Ngo, V; Chapman, R; Yu, Y; Liu, HF; Jiang, GQ; Zong, NS</t>
  </si>
  <si>
    <t>Ren, LJ; Zhang, DH</t>
  </si>
  <si>
    <t>Duan, LL; Michailidis, G; Ding, MZ</t>
  </si>
  <si>
    <t>Partel, G; Wählby, C</t>
  </si>
  <si>
    <t>Engelmann, N; Linzner, D; Koeppl, H</t>
  </si>
  <si>
    <t>Montagna, F; Noceti, N; Rosasco, L; Zhang, K; Locatello, F</t>
  </si>
  <si>
    <t>Dong, ZP; Li, ZH; Yan, YH; Calinon, S; Chen, F</t>
  </si>
  <si>
    <t>Jin, DN; Yang, B</t>
  </si>
  <si>
    <t>McBrearty, IW; Beroza, GC</t>
  </si>
  <si>
    <t>Tripicchio, P; D'Avella, S</t>
  </si>
  <si>
    <t>Zhang, YR; Ding, SF; Wang, LJ; Wang, YR; Ding, L</t>
  </si>
  <si>
    <t>Chen, P; Wang, J; Lin, HF; Zhao, D; Yang, ZH; Wren, J</t>
  </si>
  <si>
    <t>Kim, EH; Gu, JH; Lee, JH; Kim, SH; Kim, J; Shin, HG; Kim, SH; Lee, D</t>
  </si>
  <si>
    <t>Hotta, K; Xie, HR; Zhang, C</t>
  </si>
  <si>
    <t>Adams, J; Hansen, NR; Zhang, K</t>
  </si>
  <si>
    <t>Niu, HR; Omitaomu, OA; Langston, MA; Olama, M; Ozmen, O; Klasky, HB; Laurio, A; Sauer, B; Ward, M; Nebeker, J</t>
  </si>
  <si>
    <t>Höhener, P; Imfeld, G</t>
  </si>
  <si>
    <t>Yang, XJ; Li, SY; Liang, K; Nie, FP; Lin, L</t>
  </si>
  <si>
    <t>Caimo, A; Gollini, I</t>
  </si>
  <si>
    <t>Salehkaleybar, S; Ghassami, A; Kiyavash, N; Zhang, K</t>
  </si>
  <si>
    <t>Eltaleb, I; Soliman, MY</t>
  </si>
  <si>
    <t>Guo, FY; Xiao, X; Hecker, A; Dustdar, S</t>
  </si>
  <si>
    <t>Ye, XC; Li, HM; Imakura, A; Sakurai, T</t>
  </si>
  <si>
    <t>Varbella, A; Gjorgiev, B; Sansavini, G</t>
  </si>
  <si>
    <t>Netzler, F; Lienkamp, M</t>
  </si>
  <si>
    <t>Xu, K; Singh, R; Bilen, H; Fiore, M; Marina, MK; Wang, Y</t>
  </si>
  <si>
    <t>Nikolentzos, G; Vazirgiannis, M; Xypolopoulos, C; Lingman, M; Brandt, EG</t>
  </si>
  <si>
    <t>Zhang, R; Worley, R; Edwards, S; Aitken, J; Anderson, SR; Mihaylova, L</t>
  </si>
  <si>
    <t>Neto, EC</t>
  </si>
  <si>
    <t>Bhattacharjee, M; Banerjee, M; Michailidis, G</t>
  </si>
  <si>
    <t>Aimone, JB; Lehoucq, R; Severa, W; Smith, JD</t>
  </si>
  <si>
    <t>Thomas, S; Tiago, C; Andreassen, BS; Aase, SA; Sprem, J; Steen, E; Solberg, A; Ben-Yosef, G</t>
  </si>
  <si>
    <t>Sankaran, P; McConky, K; Sudit, M; Ortiz-Peña, H</t>
  </si>
  <si>
    <t>Zhu, YH; Hu, F; Kuo, LH; Liu, J</t>
  </si>
  <si>
    <t>Shahsavani, H; Heilmann, Z</t>
  </si>
  <si>
    <t>Zhu, ZL; Ma, JQ; Zhang, C</t>
  </si>
  <si>
    <t>Ombadi, M; Nguyen, P; Sorooshian, S; Hsu, KL</t>
  </si>
  <si>
    <t>Ma, PC; Ji, ZL; Pang, Q; Wang, S</t>
  </si>
  <si>
    <t>Hanspach, J; Bollmann, S; Grigo, J; Karius, A; Uder, M; Laun, FB</t>
  </si>
  <si>
    <t>Card, SW</t>
  </si>
  <si>
    <t>Dehghanpour-Sahron, J; Mahdavi-Amiri, N</t>
  </si>
  <si>
    <t>Sevgican, S; Turan, M; Gökarslan, K; Yilmaz, HB; Tugcu, T</t>
  </si>
  <si>
    <t>Madhubalan, A; Gautam, A; Tiwary, P</t>
  </si>
  <si>
    <t>Weerasinghe, K; Janapati, S; Ge, XR; Kind, S; Lyer, S; Stankovic, JA; Alemzadeh, R</t>
  </si>
  <si>
    <t>de Oliveira, WDG; Penatti, OAB; Berton, L</t>
  </si>
  <si>
    <t>Crisan, A; Fisher, SE; Gardy, JL; Munzner, T</t>
  </si>
  <si>
    <t>Momeni, A; Chauhan, V; Bin Mahmoud, A; Piratla, KR; Safro, I</t>
  </si>
  <si>
    <t>Zheng, RB; Lyzinski, V; Priebe, CE; Tang, M</t>
  </si>
  <si>
    <t>Karlé, E; Tyagi, H</t>
  </si>
  <si>
    <t>Khan, FN</t>
  </si>
  <si>
    <t>Yang, ZH; Sun, QD; Zhang, YL; Wang, W</t>
  </si>
  <si>
    <t>Ismail, E; Gad, W; Hashem, M</t>
  </si>
  <si>
    <t>McBrearty, IW; Segall, P</t>
  </si>
  <si>
    <t>Data Set Synthesis Based on Known Correlations and Distributions for Expanded Social Graph Generation</t>
  </si>
  <si>
    <t>Semantic segmentation of bridge point clouds with a synthetic data augmentation strategy and graph-structured deep metric learning</t>
  </si>
  <si>
    <t>Machine Learning with Enormous Synthetic Data Sets: Predicting Glass Transition Temperature of Polyimides Using Graph Convolutional Neural Networks</t>
  </si>
  <si>
    <t>Floor-Plan-Aided Indoor Localization: Zero-Shot Learning Framework, Data Sets, and Prototype</t>
  </si>
  <si>
    <t>PyGraft: Configurable Generation of Synthetic Schemas and Knowledge Graphs at Your Fingertips</t>
  </si>
  <si>
    <t>Graph Generators: State of the Art and Open Challenges</t>
  </si>
  <si>
    <t>Structural Form-Finding Enhanced by Graph Neural Networks</t>
  </si>
  <si>
    <t>FIGLEARN: FILTER AND GRAPH LEARNING USING OPTIMAL TRANSPORT</t>
  </si>
  <si>
    <t>Improving the level of autism discrimination with augmented data by GraphRNN</t>
  </si>
  <si>
    <t>Generating Semantic Graph Corpora with Graph Expansion Grammar</t>
  </si>
  <si>
    <t>kt-Safety: Graph Release via k-Anonymity and t-Closeness</t>
  </si>
  <si>
    <t>Markov Clustering Algorithms and Their Application in Analysis of PPI Network of Malaria Genes</t>
  </si>
  <si>
    <t>Unsupervised Adaptive Bipartite Graph Embedding</t>
  </si>
  <si>
    <t>LEMMING - Example-based Mimicking of Knowledge Graphs</t>
  </si>
  <si>
    <t>Auto-weighted multi-view clustering via hierarchical bipartite graph</t>
  </si>
  <si>
    <t>Graph-Based Deep Generative Modelling for Document Layout Generation</t>
  </si>
  <si>
    <t>Demystifying Graph Neural Network Explanations</t>
  </si>
  <si>
    <t>Investigating Transfer Learning in Graph Neural Networks</t>
  </si>
  <si>
    <t>Graph-to-3D: End-to-End Generation and Manipulation of 3D Scenes Using Scene Graphs</t>
  </si>
  <si>
    <t>ShareTrace: An Iterative Message Passing Algorithm for Efficient and Effective Disease Risk Assessment on an Interaction Graph</t>
  </si>
  <si>
    <t>Analyzing Data-Centric Properties for Graph Contrastive Learning</t>
  </si>
  <si>
    <t>MolGrapher: Graph-based Visual Recognition of Chemical Structures</t>
  </si>
  <si>
    <t>Chameleon algorithm based on improved natural neighbor graph generating sub-clusters</t>
  </si>
  <si>
    <t>Portable graph-based rumour detection against multi-modal heterophily</t>
  </si>
  <si>
    <t>Self-Supervised Real-to-Sim Scene Generation</t>
  </si>
  <si>
    <t>Learning Node Representations from Noisy Graph Structures</t>
  </si>
  <si>
    <t>Recognition and reconstruction of cell differentiation patterns with deep learning</t>
  </si>
  <si>
    <t>Generating synthetic data with variational autoencoder to address class imbalance of graph attention network prediction model for construction management</t>
  </si>
  <si>
    <t>Understanding the Success of Graph-based Semi-Supervised Learning using Partially Labelled Stochastic Block Model</t>
  </si>
  <si>
    <t>Developing a comprehensive, adaptive system for large scale x-ray images</t>
  </si>
  <si>
    <t>Procedurally Generated Colonoscopy and Laparoscopy Data for Improved Model Training Performance</t>
  </si>
  <si>
    <t>Entropic Causal Inference: Graph Identifiability</t>
  </si>
  <si>
    <t>Communication Efficient, Distributed Relative State Estimation in UAV Networks</t>
  </si>
  <si>
    <t>Dynamic Domain Adaptation for Single-view 3D Reconstruction</t>
  </si>
  <si>
    <t>Towards Generating Semi-Synthetic Datasets for Network Intrusion Detection System</t>
  </si>
  <si>
    <t>An Approach to Abstract Multi-stage Cyberattack Data Generation for ML-Based IDS in Smart Grids</t>
  </si>
  <si>
    <t>Estimating posterior inference quality of the relational infinite latent feature model for overlapping community detection</t>
  </si>
  <si>
    <t>Handling missing values for mining gradual patterns from NoSQL graph databases</t>
  </si>
  <si>
    <t>Valid two-sample graph testing via optimal transport Procrustes and multiscale graph correlation with applications in connectomics</t>
  </si>
  <si>
    <t>Adaptive and flexible ℓ1-norm graph embedding for unsupervised feature selection</t>
  </si>
  <si>
    <t>Change Detection in Graph Streams by Learning Graph Embeddings on Constant-Curvature Manifolds</t>
  </si>
  <si>
    <t>Synthetic data generation with probabilistic Bayesian Networks</t>
  </si>
  <si>
    <t>Proof of Concept Example for Use of Simulation to Allow Data Pooling Despite Privacy Restrictions</t>
  </si>
  <si>
    <t>Chemistry-informed molecular graph as reaction descriptor for machine-learned retrosynthesis planning</t>
  </si>
  <si>
    <t>Condensing Graphs via One-Step Gradient Matching</t>
  </si>
  <si>
    <t>Test-data generation and integration for long-distance e-vehicle routing</t>
  </si>
  <si>
    <t>CI-GNN: A Granger causality-inspired graph neural network for interpretable brain network-based psychiatric diagnosis</t>
  </si>
  <si>
    <t>Deep Denoising of Raw Biomedical Knowledge Graph From COVID-19 Literature, LitCovid, and Pubtator: Framework Development and Validation</t>
  </si>
  <si>
    <t>Identifying Key Information on Life Cycle of Engineering Data by Graph Convolutional Networks and Data Mining</t>
  </si>
  <si>
    <t>Bayesian Spiked Laplacian Graphs</t>
  </si>
  <si>
    <t>Graph-based image decoding for multiplexed in situ RNA detection</t>
  </si>
  <si>
    <t>Continuous-Time Bayesian Networks with Clocks</t>
  </si>
  <si>
    <t>Causal Discovery with Score Matching on Additive Models with Arbitrary Noise</t>
  </si>
  <si>
    <t>Semi-synthetic Data and Testbed for Long-Distance E-Vehicle Routing</t>
  </si>
  <si>
    <t>Passive Bimanual Skills Learning From Demonstration With Motion Graph Attention Networks</t>
  </si>
  <si>
    <t>Estimating causal effects with the neural autoregressive density estimator</t>
  </si>
  <si>
    <t>Graph Attention Convolutional Autoencoder-Based Unsupervised Nonlinear Unmixing for Hyperspectral Images</t>
  </si>
  <si>
    <t>Earthquake Phase Association with Graph Neural Networks</t>
  </si>
  <si>
    <t>Modeling multiple vehicle interaction constraints for behavior prediction of vehicles on highways</t>
  </si>
  <si>
    <t>Chameleon algorithm based on mutual k-nearest neighbors</t>
  </si>
  <si>
    <t>Few-shot biomedical named entity recognition via knowledge-guided instance generation and prompt contrastive learning</t>
  </si>
  <si>
    <t>Boosting-Crystal Graph Convolutional Neural Network for Predicting Highly Imbalanced Data: A Case Study for Metal-Insulator Transition Materials</t>
  </si>
  <si>
    <t>Component-based nearest neighbour subspace clustering</t>
  </si>
  <si>
    <t>Identification of Partially Observed Linear Causal Models: Graphical Conditions for the Non-Gaussian and Heterogeneous Cases</t>
  </si>
  <si>
    <t>On the Power of Gradual Network Alignment Using Dual-Perception Similarities</t>
  </si>
  <si>
    <t>Scalable Semi-Supervised Graph Learning Techniques for Anti Money Laundering</t>
  </si>
  <si>
    <t>Detecting anomalous sequences in electronic health records using higher-order tensor networks</t>
  </si>
  <si>
    <t>Quantification of Lambda (Λ) in multi-elemental compound-specific isotope analysis</t>
  </si>
  <si>
    <t>Structured graph optimization for joint spectral embedding and clustering</t>
  </si>
  <si>
    <t>A multilayer exponential random graph modelling approach for weighted networks</t>
  </si>
  <si>
    <t>Learning Linear Non-Gaussian Causal Models in the Presence of Latent Variables</t>
  </si>
  <si>
    <t>New Pump-In Flowback Model Verification with In-Situ Strain Measurements and Numerical Simulation</t>
  </si>
  <si>
    <t>Characterizing IOTA Tangle with Empirical Data</t>
  </si>
  <si>
    <t>An oversampling framework for imbalanced classification based on Laplacian eigenmaps</t>
  </si>
  <si>
    <t>Geometric deep learning for online prediction of cascading failures in power grids</t>
  </si>
  <si>
    <t>Privacy Preserving Human Mobility Generation Using Grid-Based Data and Graph Autoencoders</t>
  </si>
  <si>
    <t>CartaGenie: Context-Driven Synthesis of City-Scale Mobile Network Traffic Snapshots</t>
  </si>
  <si>
    <t>Synthetic electronic health records generated with variational graph autoencoders</t>
  </si>
  <si>
    <t>Visual Simultaneous Localization and Mapping for Sewer Pipe Networks Leveraging Cylindrical Regularity</t>
  </si>
  <si>
    <t>Causality-Aware Predictions in Static Anticausal Machine Learning Tasks</t>
  </si>
  <si>
    <t>Change Point Estimation in a Dynamic Stochastic Block Model</t>
  </si>
  <si>
    <t>Assessing a Neuromorphic Platform for use in Scientific Stochastic Sampling</t>
  </si>
  <si>
    <t>Graph Convolutional Neural Networks for Automated Echocardiography View Recognition: A Holistic Approach</t>
  </si>
  <si>
    <t>GAMMA: Graph Attention Model for Multiple Agents to Solve Team Orienteering Problem With Multiple Depots</t>
  </si>
  <si>
    <t>SCOREH plus : A High-Order Node Proximity Spectral Clustering on Ratios-of-Eigenvectors Algorithm for Community Detection</t>
  </si>
  <si>
    <t>Velocity and event-slope analysis using a model-based common-diffraction-surface stack operator</t>
  </si>
  <si>
    <t>SUPER-RESOLUTION OF DIFFUSION MRI VIA JOINT CONSIDERATION OF SPATIAL AND ANGULAR SPACES USING GRAPH CNN</t>
  </si>
  <si>
    <t>Evaluation of Methods for Causal Discovery in Hydrometeorological Systems</t>
  </si>
  <si>
    <t>NoLeaks: Differentially Private Causal Discovery Under Functional Causal Model</t>
  </si>
  <si>
    <t>Deep learning-based quantitative susceptibility mapping (QSM) in the presence of fat using synthetically generated multi-echo phase training data</t>
  </si>
  <si>
    <t>Coupled dynamical systems data for testing detection of subtle causal dependencies</t>
  </si>
  <si>
    <t>A competitive optimization approach for data clustering and orthogonal non-negative matrix factorization</t>
  </si>
  <si>
    <t>Intelligent Network Data Analytics Function in 5G Cellular Networks using Machine Learning</t>
  </si>
  <si>
    <t>Blender-Gan: Multi-Target Conditional Generative Adversarial Network for Novel Class Synthetic Data Generation</t>
  </si>
  <si>
    <t>Real-Time Multimodal Cognitive Assistant for Emergency Medical Services</t>
  </si>
  <si>
    <t>A comparison of graph-based semi-supervised learning for data augmentation</t>
  </si>
  <si>
    <t>GEViTRec: Data Reconnaissance Through Recommendation Using a Domain-Specific Visualization Prevalence Design Space</t>
  </si>
  <si>
    <t>Generation of Synthetic Water Distribution Data Using a Multiscale Generator-Optimizer</t>
  </si>
  <si>
    <t>Vertex Nomination Between Graphs via Spectral Embedding and Quadratic Programming</t>
  </si>
  <si>
    <t>Dynamic Ranking with the BTL Model: A Nearest Neighbor based Rank Centrality Method</t>
  </si>
  <si>
    <t>Data Perspectives in AI-Assisted Fiber-Optic Communication Networks</t>
  </si>
  <si>
    <t>Identification of Malicious Injection Attacks in Dense Rating and Co-Visitation Behaviors</t>
  </si>
  <si>
    <t>A hybrid Stacking-SMOTE model for optimizing the prediction of autistic genes</t>
  </si>
  <si>
    <t>Deep Learning Forecasts Caldera Collapse Events at Kilauea Volcano</t>
  </si>
  <si>
    <t>Correlation matrix; data distribution; social graph; synthetic data generation</t>
  </si>
  <si>
    <t>Knowledge Graph; Schema; Semantic Web; Synthetic Data Generator</t>
  </si>
  <si>
    <t>Graph parsing; Instance segmentation; Structural equation models; Synthetic data</t>
  </si>
  <si>
    <t>Autism; Data augmentation; Functional connectivity; Graph recurrent neural network (graphRNN); Link prediction</t>
  </si>
  <si>
    <t>brain networks; distance correlation; Drosophila mushroom body; random dot product graph</t>
  </si>
  <si>
    <t>Autoencoder; bilinear mixture model; graph attention convolutional network; hyperspectral remote sensing imagery; nonlinear spectral unmixing</t>
  </si>
  <si>
    <t>Common-diffraction-surface stack; Common-midpoint stack; Velocity analysis; Velocity spectrum</t>
  </si>
  <si>
    <t>Diffusion MRI; graph convolution; super-resolution</t>
  </si>
  <si>
    <t>Clustering; Multilevel method; Normalized k-cut; Optimization problem; Orthogonal non-negative matrix factorization</t>
  </si>
  <si>
    <t>Correlated graphs; Generalized random dot product graphs; Point set registration; Vertex nomination</t>
  </si>
  <si>
    <t>Reliable traffic volume forecasting remains a significant challenge due to the unstable variation patterns of traffic volume and the irregular spatial structure of traffic network. Most of previous works have neglected the implicit variation patterns of traffic volume, failing to model its spatiotemporal dependencies comprehensively. Although graph convolutional networks have been widely applied to traffic volume forecasting, most are constructed using simple graphs with limited representations, which may restrict their ability to extract deep spatial features. Therefore, a novel deep learning model is proposed in this study to address these deficiencies for improving the forecasting accuracy of traffic volume. First, a new spatiotemporal dependencies generative adversarial network is proposed to generate synthetic data (i.e., synthetic traffic volume) by using traffic speed and occupancy to construct latent variables (i.e., the input of generator in generative adversarial network), which is beneficial for capturing the implicit variation patterns of traffic volume. Then, a new multi-graph convolutional network is proposed to explore and model the heterogeneous correlations among sensors from multiple perspectives, so as to facilitate the effective extraction of deep non-Euclidean spatial features. Finally, experiments on two real-world datasets demonstrate that the proposed model makes accurate traffic volume forecasting and outperforms other state-of-the-art methods.</t>
  </si>
  <si>
    <t>Nowadays, data created through the usage of different services are most commonly not available to the average researcher. Security and privacy have become a top concern, which has further restricted access to certain real-life data, especially holding true for social networks. This is why synthetic data generators have become a very important area of research, particularly synthetic social graph generators. However, even today, such generators mostly create graphs that contain just the information whether two nodes are connected. Fortunately, there is an existing conceptual solution for an expanded social graph generator that aims to generate synthetic graphs containing multiple weighted edges between nodes, thus showing various types of relationships among those nodes, all based on known real-life data characteristics. One of its proposed steps is the generation of necessary data according to provided distributions and correlations. This paper focuses on the generation of such data by adapting an existing iterative algorithm for non-normal multivariate data simulation to generate synthetic data based on the publicly available distributions and correlations of Facebook interaction parameters. It is shown that the characteristics of the generated synthetic data are similar to the known characteristics of the real-life data, proving that the chosen algorithm, along with the accompanying alterations, can be used as one of the steps within the process of generating a synthetic expanded social graph.</t>
  </si>
  <si>
    <t>Deep learning techniques are capable of providing versatile solutions to automate classification of bridge point clouds into corresponding constituent components, but training sample scarcity and erroneous boundary seg-mentation have hindered the extent of their application. To respond to these challenges, this study presents two synthetic data augmentation strategies for alleviating the data scarcity problem and improves the weighted superpoint graph (WSPG) model by using a graph-structured deep metric learning method for generating high quality superpoints to address the erroneous boundary segmentation problem. Evaluation experiments were conducted to validate their effectiveness. Experimental results showed that the synthetic data augmentation strategies can significantly alleviate the training sample scarcity problem. The synthetic superpoint augmenta-tion strategy outperformed the synthetic point cloud augmentation strategy with an increase of around 6% for overall accuracy (OA), 3% for mean class accuracy (mAcc) and 18% for mean Intersection over Union (mIoU). Compared with the original WSPG model, the improved WSPG model with graph-structured deep metric learning method increased the mIoU of the overall dataset and the pier caps by 4% and 21% respectively, while also reducing the boundary segmentation errors.</t>
  </si>
  <si>
    <t>In the present work, we address the problem of utilizing machine learning (ML) methods to predict the thermal properties of polymers by establishing structure-property relationships. Having focused on a particular class of heterocyclic polymers, namely polyimides (PIs), we developed a graph convolutional neural network (GCNN), being one of the most promising tools for working with big data, to predict the PI glass transition temperature Tg as an example of the fundamental property of polymers. To train the GCNN, we propose an original methodology based on using a transfer learning approach with an enormous synthetic data set for pretraining and a small experimental data set for its fine-tuning. The synthetic data set contains more than 6 million combinatorically generated repeating units of PIs and theoretical values of their Tg values calculated using the well-established Askadskii's quantit ative structure-property relationship (QSPR) computational scheme. Additionally, an experimental data set for 214 PIs was also collected from the literature for training, fine-tuning, and validation of the GCNN. Both synthetic and experimental data sets are included into a PolyAskInG database (Polymer Askadskii's Intelligent Gateway). By using the PolyAskInG database, we developed GCNN which allows estimation of Tg of PI with a mean absolute error (MAE) of about 20 K, which is 1.5 times lower than in the case of Askadskii QSPR analysis (33 K). To prove the efficiency and usability of the proposed GCNN architecture and training methodology for predicting polymer properties, we also employed transfer learning to develop alternative GCNN pretrained on proxy-characteristics taken from the popular quantum chemical QM9 database for small compounds and fine-tuned on an experimental Tg values data set from PolyAskInG database. The obtained results indicate that pretraining of GCNN on the synthetic polymer data set provides MAE which is almost twice as low as that in the case of using the QM9 data set in the pretraining stage (similar to 41 K). Furthermore, we address the questions associated with the influence of the differences in the size of the experimental and synthetic data sets (so-called reality gap problem), as well as their chemical composition on the training quality. Our results state the overall priority of using polymer data sets for developing deep neural networks, and GCNN in particular, for efficient prediction of polymer properties. Moreover, our work opens up a challenge for the theoretically supported generation of large synthetic data sets of polymer properties for the training of the complex ML models. The proposed methodology is rather versatile and may be generalized for predicting other properties of different polymers and copolymers synthesized through the polycondensation reaction.</t>
  </si>
  <si>
    <t>Machine learning has been considered a promising approach for indoor localization. Nevertheless, the sample efficiency, scalability, and generalization ability remain open issues of implementing learning-based algorithms in practical systems. In this paper, we establish a zero-shot learning framework that does not need real-world measurements in a new communication environment. Specifically, a graph neural network that is scalable to the number of access points (APs) and mobile devices (MDs) is used for obtaining coarse locations of MDs. Based on the coarse locations, the floor-plan image between an MD and an AP is exploited to improve localization accuracy in a floor-plan-aided deep neural network. To further improve the generalization ability, we develop a synthetic data generator that provides synthetic data samples in different scenarios, where real-world samples are not available. We implement the framework in a prototype that estimates the locations of MDs. Experimental results show that our zero-shot learning method can reduce localization errors by around 30% to 55% compared with three baselines from the existing literature.</t>
  </si>
  <si>
    <t>Knowledge graphs (KGs) have emerged as a prominent data representation and management paradigm. Being usually underpinned by a schema (e.g., an ontology), KGs capture not only factual information but also contextual knowledge. In some tasks, a few KGs established themselves as standard benchmarks. However, recent works outline that relying on a limited collection of datasets is not sufficient to assess the generalization capability of an approach. In some data-sensitive fields such as education or medicine, access to public datasets is even more limited. To remedy the aforementioned issues, we release PyGraft, a Python-based tool that generates highly customized, domain-agnostic schemas and KGs. The synthesized schemas encompass various RDFS and OWL constructs, while the synthesized KGs emulate the characteristics and scale of real-world KGs. Logical consistency of the generated resources is ultimately ensured by running a description logic (DL) reasoner. By providing a way of generating both a schema and KG in a single pipeline, PyGraft's aim is to empower the generation of a more diverse array of KGs for benchmarking novel approaches in areas such as graph-based machine learning (ML), or more generally KG processing. In graph-based ML in particular, this should foster a more holistic evaluation of model performance and generalization capability, thereby going beyond the limited collection of available benchmarks. PyGraft is available at: https://github.com/nicolas-hbt/pygraft.</t>
  </si>
  <si>
    <t>The abundance of interconnected data has fueled the design and implementation of graph generators reproducing real-world linking properties or gauging the effectiveness of graph algorithms, techniques, and applications manipulating these data. We consider graph generation across multiple subfields, such as Semantic Web, graph databases, social networks, and community detection, along with general graphs. Despite the disparate requirements of modern graph generators throughout these communities, we analyze them under a common umbrella, reaching out the functionalities, the practical usage, and their supported operations. We argue that this classification is serving the need of providing scientists, researchers, and practitioners with the right data generator at hand for their work. This survey provides a comprehensive overview of the state-of-the-art graph generators by focusing on those that are pertinent and suitable for several data-intensive tasks. Finally, we discuss open challenges and missing requirements of current graph generators along with their future extensions to new emerging fields.</t>
  </si>
  <si>
    <t>Computational form-finding methods hold great potential for enabling resource-efficient structural design. In this context, the Combinatorial Equilibrium Modelling (CEM) allows the design of cross-typological tension-compression structures starting from an input topology diagram in the form of a graph. This paper presents an AI-assisted design workflow in which the graph modelling process required by the CEM is simplified through the application of a Graph Neural Network (GNN). To this end, a GNN model is used for the automatic labelling of edges of unlabelled topology diagrams. A synthetic topology diagram data generator is developed to produce training data for the GNN model. The trained GNN is tested on a dataset of typical bridge topologies based on real structures. The experiments show that the trained GNN generalises well to unseen synthetic data and data from real structures similar to the synthetic data. Hence, further developments of the GNN model have the potential to make the proposed design workflow a valuable tool for the conceptual design of structures.</t>
  </si>
  <si>
    <t>In many applications, a dataset can be considered as a set of observed signals that live on an unknown underlying graph structure. Some of these signals may be seen as white noise that has been filtered on the graph topology by a graph filter. Hence, the knowledge of the filter and the graph provides valuable information about the underlying data generation process and the complex interactions that arise in the dataset. We hence introduce a novel graph signal processing framework for jointly learning the graph and its generating filter from signal observations. We cast a new optimisation problem that minimises the Wasserstein distance between the distribution of the signal observations and the filtered signal distribution model. Our proposed method outperforms state-of-the-art graph learning frameworks on synthetic data. We then apply our method to a temperature anomaly dataset, and further show how this framework can be used to infer missing values if only very little information is available.</t>
  </si>
  <si>
    <t>Datasets are the key to deep learning in autism disease research. However, due to the small quantity and heterogeneity of samples in current public datasets, for example Autism Brain Imaging Data Exchange (ABIDE), the recognition research is not sufficiently effective. Previous studies primarily focused on optimizing feature selection methods and data augmentation to improve recognition accuracy. This research is based on the latter, which learns the edge distribution of a real brain network through the graph recurrent neural network (GraphRNN) and generates synthetic data that have an incentive effect on the discriminant model. Experimental results show that the synthetic data greatly improves the classification ability of the subsequent classifiers, for example, it can improve the classification accuracy of a 50-layer ResNet by up to 30% compared with the case without synthetic data.</t>
  </si>
  <si>
    <t>We introduce LOVELACE, a tool for creating corpora of semantic graphs. The system uses graph expansion grammar as a representational language, thus allowing users to craft a grammar that describes a corpus with desired properties. When given such grammar as input, the system generates a set of output graphs that are well-formed according to the grammar, i.e., a graph bank. The generation process can be controlled via a number of configurable parameters that allow the user to, for example, specify a range of desired output graph sizes. Central use cases are the creation of synthetic data to augment existing corpora, and as a pedagogical tool for teaching formal language theory.</t>
  </si>
  <si>
    <t>In a wide spectrum of real-world applications, it is very important to analyze and mine graph data such as social networks, communication networks, citation networks, and so on. However, the release of such graph data often raises privacy issue, and the graph privacy preservation has recently drawn much attention from the database community. While prior works on graph privacy preservation mainly focused on protecting the privacy of either the graph structure only or vertex attributes only, in this paper, we propose a novel mechanism for graph privacy preservation by considering attacks from both graph structures and vertex attributes, which transforms the original graph to a so-called kt-safe graph, via k-anonymity and t-closeness. We prove that the generation of a kt-safe graph is NP-hard, therefore, we propose a feasible framework for effectively and efficiently anonymizing a graph with low anonymization cost. In particular, we design a cost-model-based graph partitioning approach to enable our proposed divide-and-conquer strategy for the graph anonymization, and propose effective optimization techniques such as pruning method and a tree synopsis to improve the anonymization efficiency over large-scale graphs. Extensive experiments have been conducted to verify the efficiency and effectiveness of our proposed kt-safe graph generation approach on both real and synthetic data sets.</t>
  </si>
  <si>
    <t>An empirical study on three graph-based clustering algorithms has been presented here. We have discussed those three clustering algorithms and made an analysis. The algorithms we have considered here are: Markov Clustering (MCL), Regularized Markov Clustering Algorithm (R-MCL), and Variable Inflation MCL (VI-MCL). We have used two types of graph networks: random network generated using synthetic data and PPI networks generated from 22 candidate genes of Malaria. We have considered the ubiquitous Dunn Index as the cluster validity index (CVI) to validate the generated clusters. Our experiments reveal that VI-MCL produces a lot of singletons set on both synthetic graph and PPI graph of those 22 genes. MCL performs best among the three algorithms we have chosen. The quality of clusters produces by R-MCL is better than that of VI-MCL.</t>
  </si>
  <si>
    <t>In traditional graph embedding methods, graph construction is sensitive to high-dimensional data with noise and outliers, making an effective exploration of the neighborhood structure of the data difficult. Besides, with these methods, constructing graphs and reducing dimensions are disconnected and cannot be mutually optimized. To address these problems, we propose an unsupervised dimensionality reduction method based on bipartite graph, named unsupervised adaptive bipartite graph embedding (UABGE). First, the anchors are generated from the raw data by K-means or random sampling. Second, the bipartite graph, which is constructed between the samples and the anchors in the low-dimensional subspace, utilizes the adaptive allocation method to assign neighbors for each sample, so that the local structure of high-dimensional data can be captured effectively. Third, we present an objective function that combines bipartite graph construction and projection matrix learning to achieve mutual optimization between them, which can be solved with an alternating optimization algorithm. Finally, the computational complexity and the convergence of the algorithm are analyzed. Experimental results on synthetic data and publicly available datasets illustrate the effectiveness of the proposed method.</t>
  </si>
  <si>
    <t>The size of knowledge graphs used in real applications grows constantly. Predicting the performance of storage solutions for knowledge graphs w.r.t. their query performance is hence of central performance for the practical use of said storage solutions. We address this challenge by learning graph invariants of a given graph. We then use these invariants to fuel a stochastic generation model that is able to generate graphs of arbitrary sizes similar to the input graph. We evaluate our graph generator, dubbed LEMMING, by comparing the performance of storage solutions on synthetic and real versions of three datasets of up to 3.4 x 10(6) triples. Our results suggest that the performance of storage solutions on synthetic data generated by LEMMING reflects their performance on real data in most of the cases. The source code of LEMMING is available at https://github.com/dice-group/Lemming.</t>
  </si>
  <si>
    <t>The expensive time consumption and hyper-parameters are two main drawbacks of most existing multi- view graph clustering methods. Especially in large-scale data clustering, these two defects are more serious. Aiming at these two problems, we propose a novel auto-weighted multi-view clustering method based on the hierarchical bipartite graph to effectively address these two limitations. Similar to the idea of an anchor graph, firstly, the bisecting k-means method is used instead of traditional method to generate a hierarchical anchor points set. And then, the hierarchical bipartite graph can be constructed between the original points and the anchor points of last layer. Since we only consider the anchor points on the last layer rather than using a larger number of anchors to obtain the bipartite graph, our proposed method will greatly reduce the time consumption. Moreover, the automatic learning strategy was adopted to select the appropriate weights for each view in our proposed approach, which remove the weight-related hyper-parameters and effectively avoid the vexing problem of hyper-parameters in multi-view graph clustering. Finally, experiments were carried out on synthetic data and different sizes benchmark data respectively to verify the validity of our method.</t>
  </si>
  <si>
    <t>One of the major prerequisites for any deep learning approach is the availability of large-scale training data. When dealing with scanned document images in real world scenarios, the principal information of its content is stored in the layout itself. In this work, we have proposed an automated deep generative model using Graph Neural Networks (GNNs) to generate synthetic data with highly variable and plausible document layouts that can be used to train document interpretation systems, in this case, specially in digital mailroom applications. It is also the first graph-based approach for document layout generation task experimented on administrative document images, in this case, invoices.</t>
  </si>
  <si>
    <t>Graph neural networks (GNNs) are quickly becoming the standard approach for learning on graph structured data across several domains, but they lack transparency in their decision-making. Several perturbation-based approaches have been developed to provide insights into the decision making process of GNNs. As this is an early research area, the methods and data used to evaluate the generated explanations lack maturity. We explore these existing approaches and identify common pitfalls in three main areas: (1) synthetic data generation process, (2) evaluation metrics, and (3) the final presentation of the explanation. For this purpose, we perform an empirical study to explore these pitfalls along with their unintended consequences and propose remedies to mitigate their effects.</t>
  </si>
  <si>
    <t>Graph neural networks (GNNs) build on the success of deep learning models by extending them for use in graph spaces. Transfer learning has proven extremely successful for traditional deep learning problems, resulting in faster training and improved performance. Despite the increasing interest in GNNs and their use cases, there is little research on their transferability. This research demonstrates that transfer learning is effective with GNNs, and describes how source tasks and the choice of GNN impact the ability to learn generalisable knowledge. We perform experiments using real-world and synthetic data within the contexts of node classification and graph classification. To this end, we also provide a general methodology for transfer learning experimentation and present a novel algorithm for generating synthetic graph classification tasks. We compare the performance of GCN, GraphSAGE and GIN across both synthetic and real-world datasets. Our results demonstrate empirically that GNNs with inductive operations yield statistically significantly improved transfer. Further, we show that similarity in community structure between source and target tasks support statistically significant improvements in transfer over and above the use of only the node attributes.</t>
  </si>
  <si>
    <t>Controllable scene synthesis consists of generating 3D information that satisfy underlying specifications. Thereby, these specifications should be abstract, i.e. allowing easy user interaction, whilst providing enough interface for detailed control. Scene graphs are representations of a scene, composed of objects (nodes) and inter-object relationships (edges), proven to be particularly suited for this task, as they allow for semantic control on the generated content. Previous works tackling this task often rely on synthetic data, and retrieve object meshes, which naturally limits the generation capabilities. To circumvent this issue, we instead propose the first work that directly generates shapes from a scene graph in an end-to-end manner. In addition, we show that the same model supports scene modification, using the respective scene graph as interface. Leveraging Graph Convolutional Networks (GCN) we train a variational Auto-Encoder on top of the object and edge categories, as well as 3D shapes and scene layouts, allowing latter sampling of new scenes and shapes.</t>
  </si>
  <si>
    <t>We propose a novel privacy-preserving COVID-19 risk assessment algorithm that can make a fundamental contribution to the development of the next generation resilient public health and health care systems. The proposed algorithm, ShareTrace, uses a hyperlocal interaction graph to capture direct and indirect physical interactions among users. Combining user-reported symptoms that are propagated through the hyperlocal interaction graph via a novel message passing algorithm, ShareTrace is able to pick up early warning signals based on the combination of interactions with others and symptoms. The proposed algorithm is inspired by the belief propagation algorithm and iterative decoding of low-density parity-check codes over factor graphs. Our evaluation on synthetic data shows the efficiency and efficacy of the proposed solution.</t>
  </si>
  <si>
    <t>Recent analyses of self-supervised learning (SSL) find the following data-centric properties to be critical for learning good representations: invariance to task-irrelevant semantics, separability of classes in some latent space, and recoverability of labels from augmented samples. However, given their discrete, non-Euclidean nature, graph datasets and graph SSL methods are unlikely to satisfy these properties. This raises the question: how do graph SSL methods, such as contrastive learning (CL), work well? To systematically probe this question, we perform a generalization analysis for CL when using generic graph augmentations (GGAs), with a focus on data-centric properties. Our analysis yields formal insights into the limitations of GGAs and the necessity of task-relevant augmentations. As we empirically show, GGAs do not induce task-relevant invariances on common benchmark datasets, leading to only marginal gains over naive, untrained baselines. Our theory motivates a synthetic data generation process that enables control over task-relevant information and boasts pre-defined optimal augmentations. This flexible benchmark helps us identify yet unrecognized limitations in advanced augmentation techniques (e.g., automated methods). Overall, our work rigorously contextualizes, both empirically and theoretically, the effects of data-centric properties on augmentation strategies and learning paradigms for graph SSL.</t>
  </si>
  <si>
    <t>The automatic analysis of chemical literature has immense potential to accelerate the discovery of new materials and drugs. Much of the critical information in patent documents and scientific articles is contained in figures, depicting the molecule structures. However, automatically parsing the exact chemical structure is a formidable challenge, due to the amount of detailed information, the diversity of drawing styles, and the need for training data. In this work, we introduce MolGrapher to recognize chemical structures visually. First, a deep keypoint detector detects the atoms. Second, we treat all candidate atoms and bonds as nodes and put them in a graph. This construct allows a natural graph representation of the molecule. Last, we classify atom and bond nodes in the graph with a Graph Neural Network. To address the lack of real training data, we propose a synthetic data generation pipeline producing diverse and realistic results. In addition, we introduce a large-scale benchmark of annotated real molecule images, USPTO-30K, to spur research on this critical topic. Extensive experiments on five datasets show that our approach significantly outperforms classical and learning-based methods in most settings. Code, models, and datasets are available (1).</t>
  </si>
  <si>
    <t>Chameleon algorithm is a hierarchical clustering based on dynamic modeling. It can find high-quality clusters with different shapes, sizes and densities. However, Chameleon algorithm requires user-specifiedkwhen constructing sparse graph, which directly influences the clustering performance. In addition, the graph-partitioning technology used in the original algorithm, hMetis algorithm, is hard to build operation environment, and the number of partitions needs to be specified. These problems are arduous to determine without prior knowledge. In order to overcome the first problem, this paper introduces an improved natural neighbor method to construct a sparse graph, which can reflect the initial sparseness of the data. To address the second problems, this paper proposes a new method of generating sub-clusters in sparse graphs, which is simple and objective. In summary, this paper proposes Chameleon Algorithm Based on Improved Natural Neighbor Graph Generating Sub-clusters (INNGS-Chameleon). This algorithm is tested on 8 synthetic data sets and 10 UCI data sets. The results are compared with the Chameleon algorithm, its improved algorithm and several classic algorithms. The experimental results show that the INNGS-Chameleon algorithm is feasible and effective.</t>
  </si>
  <si>
    <t>The propagation of rumours on social media poses an important threat to societies, so that various techniques for graph-based rumour detection have been proposed recently. Existing works, however, are based on homophilic graphs: entities that are connected to each other often have the same label. However, recent studies found that heterophily is more common in real-world social networks, i.e., entities with different labels are also often linked to each other due to 'innocent' retweets or camouflage behaviours by malicious users. Especially, the heterophily problem is even more challenging in multi-modal social graphs, in which neighbouring entities might differ in terms of both labels and modalities. To cope with multi-modal homophily in graph-based rumour detection, we propose a Portable Graph Transformer-based Rumour Detection model (PHAROS) with novel multi-modal homophily measures. It integrates label information in the learning process, which enables us to generate discriminative neighbourhoods of entities. Our model can handle multiple modalities (a natural characteristic of social graphs) and is portable to be combined with existing graph-based models. Extensive experiments on real and synthetic data show the superiority, efficiency, robustness, and portability of PHAROS and its heterophily resilience.</t>
  </si>
  <si>
    <t>Synthetic data mimics the statistical properties of real-world datasets while removing reference to sensitive or confidential information in the original dataset (Quintana, 2020). Synthetic data is also useful for general model testing and development, with many methods available for generating data from machine learning models (Raghunathan, 2021). Although not widely used in the context of ecological and environmental modelling, synthetic data can support and accelerate model testing and analyses where rightsholders are sensitive to data disclosure for study areas, or data collection is expensive. In the context of reef modelling, synthetic data can be used to support model analyses that can be published without referring to specific sites, reefs, or study areas. This is desirable in the context of decision support for restoration of the Great Barrier Reef. The Reef has many stakeholders and release of early modelling results for intervention scenarios for specific areas would be premature until management or intervention strategy options have been discussed with stakeholders and/or rightsholders. Synthetic data allows a path to publish model and method demonstrations to share knowledge with the reef decision support community without prematurely suggesting policy recommendations for reefs which are sensitive to rightsholders or stakeholders. We showcase a synthetic data pipeline developed for the reef decision-support system ADRIA (Adaptive Dynamic Reef Intervention Algorithms), using methods from the Python package Synthetic Data Vault (Patki et al., 2016) and others. The synthetic data models are developed to emulate the statistics of case-study reefs for publishing decision-support tool demonstrations, testing and method validation without revealing sensitive reef site information. This pipeline includes developing models for tabular (benthic/compositional reef data), spatialtemporal (wave and heat stress data) and spatial network data (coral larval connectivity). Conditional sampling methods which connect spatial relationships across datasets are used to develop synthetic reef data packages which mimic the statistical properties of the original dataset. The utility of the synthetic data is demonstrated on a sample reef data package, and methods used for anonymizing the data are detailed. The results are discussed in the context of formalizing synthetic data for reef modelling. All synthetic data code is available at ADRIAsynthetic-data/README.md at v0.1.0 &amp; sdot; open-AIMS/ADRIA-synthetic-data (github.com), DOI: https://doi. org/10.5281/zenodo.10158323.</t>
  </si>
  <si>
    <t>Synthetic data is emerging as a promising solution to the scalability issue of supervised deep learning, especially when real data are difficult to acquire or hard to annotate. Synthetic data generation, however, can itself be prohibitively expensive when domain experts have to manually and painstakingly oversee the process. Moreover, neural networks trained on synthetic data often do not perform well on real data because of the domain gap. To solve these challenges, we propose Sim2SG, a self-supervised automatic scene generation technique for matching the distribution of real data. Importantly, Sim2SG does not require supervision from the real-world dataset, thus making it applicable in situations for which such annotations are difficult to obtain. Sim2SG is designed to bridge both the content and appearance gaps, by matching the content of real data, and by matching the features in the source and target domains. We select scene graph (SG) generation as the downstream task, due to the limited availability of labeled datasets. Experiments demonstrate significant improvements over leading baselines in reducing the domain gap both qualitatively and quantitatively, on several synthetic datasets as well as the real-world KITTI dataset.</t>
  </si>
  <si>
    <t>Learning low-dimensional representations on graphs has proved to be effective in various downstream tasks. However, noises prevail in real-world networks, which compromise networks to a large extent in that edges in networks propagate noises through the whole network instead of only the node itself. Whereas existing methods tend to focus on preserving structural properties, the robustness of the learned representations against noises is generally ignored. In this paper, we propose a novel framework to learn noise-free node representations and eliminate noises simultaneously. Since noises are often unknown on real graphs, we design two generators, namely a graph generator and a noise generator, to identify normal structures and noises in an unsupervised setting. On the one hand, the graph generator serves as a unified scheme to incorporate any useful graph prior knowledge to generate normal structures. We illustrate the generative process with community structures and power-law degree distributions as examples. On the other hand, the noise generator generates graph noises not only satisfying some fundamental properties but also in an adaptive way. Thus, real noises with arbitrary distributions can be handled successfully. Finally, in order to eliminate noises and obtain noise-free node representations, two generators need to be optimized jointly, and through maximum likelihood estimation, we equivalently convert the model into imposing different regularization constraints on the true graph and noises respectively. Our model is evaluated on both real-world and synthetic data. It outperforms other strong baselines for node classification and graph reconstruction tasks, demonstrating its ability to eliminate graph noises.</t>
  </si>
  <si>
    <t>Cell lineage decisions occur in three-dimensional spatial patterns that are difficult to identify by eye. There is an ongoing effort to replicate such patterns using mathematical modeling. One approach uses long ranging cell-cell communication to replicate common spatial arrangements like checkerboard and engulfing patterns. In this model, the cell-cell communication has been implemented as a signal that disperses throughout the tissue. On the other hand, machine learning models have been developed for pattern recognition and pattern reconstruction tasks. We combined synthetic data generated by the mathematical model with spatial summary statistics and deep learning algorithms to recognize and reconstruct cell fate patterns in organoids of mouse embryonic stem cells. Application of Moran's index and pair correlation functions for in vitro and synthetic data from the model showed local clustering and radial segregation. To assess the patterns as a whole, a graph neural network was developed and trained on synthetic data from the model. Application to in vitro data predicted a low signal dispersion value. To test this result, we implemented a multilayer perceptron for the prediction of a given cell fate based on the fates of the neighboring cells. The results show a 70% accuracy of cell fate imputation based on the nine nearest neighbors of a cell. Overall, our approach combines deep learning with mathematical modeling to link cell fate patterns with potential underlying mechanisms. Mammalian embryo development relies on organized differentiation of stem cells into different lineages. Particularly at the early stages of embryogenesis, cells of different fates form three-dimensional spatial patterns that are difficult to identify by eye. Pattern quantification and mathematical modeling have produced first insights into potential mechanisms for the cell fate arrangements. However, these approaches have relied on classifications of the patterns such as inside-out or random, or used summary statistics such as pair correlation functions or cluster radii. Deep neural networks allow characterizing patterns directly. Since the tissue context can be readily reproduced by a graph, we implemented a graph neural network to characterize the patterns of embryonic stem cell organoids as a whole. In addition, we implemented a multilayer perceptron model to reconstruct the fate of a given cell based on its neighbors. To train and test the models, we used synthetic data generated by our mathematical model for cell-cell communication. This interplay of deep learning and mathematical modeling in combination with summary statistics allowed us to identify a potential mechanism for cell fate determination in mouse embryonic stem cells. Our results agree with a mechanism with a dispersion of the intercellular signal that links a cell's fate to those of the local neighborhood.</t>
  </si>
  <si>
    <t>The predictive performance of machine learning (ML) models is challenged when trained on class imbalance realworld construction datasets, reducing the accuracy of relevant decisions. In construction projects, the collection of a balanced dataset is not always feasible. Here, the integration of generative and prediction models holds potential, synthesizing the underrepresented class and configuring a balanced input dataset. This study improves the performance of construction prediction models through the integration of a generative model that augments the dataset for the underrepresented class. For this, a variational autoencoder (VAE) was integrated into a multihead graph attention network (GAT), whereby a comprehensive construction productivity dataset was collected across different projects related to different construction activities, each with a particular structure and level of class imbalance. Balancing the class distribution led to a significant increase in the predictive performance of the GAT model, where accuracy jumped from 90.6 % to 92.5 %, 81.1 % to 94.4 %, and 92.2 % to 95.4 % when trained on finishing, concrete, and insulation activity networks, respectively.</t>
  </si>
  <si>
    <t>With the proliferation of learning scenarios with an abundance of instances, but limited amount of high-quality labels, semi-supervised learning algorithms came to prominence. Graph-based Semi-Supervised Learning (G-SSL) algorithms, of which Label Propagation (LP) is a prominent example, are particularly well-suited for these problems. The premise of LP is the existence of homophily in the graph, but beyond that nothing is known about the efficacy of LP. In particular, there is no characterisation that connects the structural constraints, volume and quality of the labels to the accuracy of LP. In this work, we draw upon the notion of recovery from the literature on community detection, and provide guarantees on accuracy for partially-labelled graphs generated from the Partially-Labelled Stochastic Block Model (PLSBM). Extensive experiments performed on synthetic data verify the theoretical findings.</t>
  </si>
  <si>
    <t>Inspection of commerce entering the country is currently an onerous, custom and extremely labor-intensive process. The imaging of commerce with 2D x-rays aids the ability to interdict certain items entering the country, reducing risk and increasing national security. We use a variety of ML techniques together to develop automated threat recognition (ATR) algorithms to assist this process. The challenge is to develop a system that incorporates several approaches simultaneously and ensemble results to improve overall performance. We employ several algorithmic techniques to solve the problem. Generally, we have synthetic data generation techniques that can rapidly spin up datasets that are then employed to train ML models. GANs are used to refine the synthetic data to resemble reality more faithfully; thresholding objectively improves top line S/N; semi-supervised methods are used to handle data sparsity and leverage any available unlabeled stream of commerce (SOC) data. Suites of object detectors infer in parallel using common techniques and results are then ensembled using a novel graph-based method. Similarity and change detection along with topological data analysis may leverage historical data to investigate anomalies. This paper is an overview of our approach, generating synthetic data and attempting to unite these ML methods to provide the highest performance for ATR of 2D x-ray data.</t>
  </si>
  <si>
    <t>The use of synthetic/simulated data can greatly improve model training performance, especially in areas such as image guided surgery, where real training data can be difficult to obtain, or of limited size. Procedural generation of data allows for large datasets to be rapidly generated and automatically labelled, while also randomising relevant parameters within the simulation to provide a wide variation in models and textures used in the scene. A method for procedural generation of both textures and geometry for IGS data is presented, using Blender Shader Graphs and Geometry Nodes, with synthetic datasets used to pre-train models for polyp detection (YoloV7) and organ segmentation (UNet), with performance evaluated on open-source datasets. Pre-training models with synthetic data significantly improves both model performance and generalisability (i.e. performance when evaluated on other datasets). Mean DICE score across all models for liver segmentation increased by 15% (p=0.02) after pre-training on synthetic data. For polyp detection, Precision increased by 11% (p=0.002), Recall by 9% (p=0.01), mAP@.5 by 10% (p=0.01) and mAP@[.5:95] by 8% (p-0.003). All synthetic data, as well as examples of different Shader Graph/Geometry Node operations can be downloaded at https://doi. org/10.5522/04/23843904.</t>
  </si>
  <si>
    <t>Entropic causal inference is a recent framework for learning the causal graph between two variables from observational data by finding the information-theoretically simplest structural explanation of the data, i.e., the model with smallest entropy. In our work, we first extend the causal graph identifiability result in the two-variable setting under relaxed assumptions. We then show the first identifiability result using the entropic approach for learning causal graphs with more than two nodes. Our approach utilizes the property that ancestrality between a source node and its descendants can be determined using the bivariate entropic tests. We provide a sound sequential peeling algorithm for general graphs that relies on this property. We also propose a heuristic algorithm for small graphs that shows strong empirical performance. We rigorously evaluate the performance of our algorithms on synthetic data generated from a variety of models, observing improvement over prior work. Finally we test our algorithms on real-world datasets.</t>
  </si>
  <si>
    <t>Distributed estimation of 6-DOF relative states, including three-dimensional relative poses and three-dimensional relative positions, is a key problem in UAV (Unmanned Aerial Vehicle) networks, which generally requires vision-involved iterative state estimation. How to achieve communication efficiency is a crucial challenge considering the large volume of vision data. This paper jointly considers the communication efficiency, latency, and accuracy for distributed relative state estimation involving vision data in UAV networks. The key is to solve a distributed graph optimization problem, which includes two key steps: (1) local graph construction and node state initialization in an initialization phase, and (2) iterative state update and communication with neighbors until convergence in online iteration phase. A communication efficient, Locating Then Informing (LTI) initialization scheme is proposed, which is run only once by each node to initialize each node's local graph and initial states. For online iteration, a RIPPLE-like distributed state iteration scheme is proposed. It inherits the advantages of traditional sequential and parallel methods while avoiding their drawbacks. It enables nodes' states to converge quickly using fewer rounds of communications. The communication costs for the initialization and online iteration processes are analyzed theoretically. Extensive evaluations use synthetic data generated by AirSim (a widely used UAV network simulation platform) and real-world data are presented. The results show that the proposed method provides accuracy comparable to the centralized graph optimization method and significantly outperforms the other distributed methods in terms of accuracy, communication cost, and latency.</t>
  </si>
  <si>
    <t>Learning 3D object reconstruction from a single RGB image is a fundamental and extremely challenging problem for robots. As acquiring labeled 3D shape representations for real-world data is time-consuming and expensive, synthetic image-shape pairs are widely used for 3D reconstruction. However, the models trained on synthetic data set did not perform equally well on real-world images. The existing method used the domain adaptation to fill the domain gap between different data sets. Unlike the approach simply considered global distribution for domain adaptation, this paper presents a dynamic domain adaptation (DDA) network to extract domain-invariant image features for 3D reconstruction. The relative importance between global and local distributions are considered to reduce the discrepancy between synthetic and real-world data. In addition, graph convolution network (GCN) based mesh generation methods have achieved impressive results than voxel-based and point cloud-based methods. However, the global context in a graph is not effectively used due to the limited receptive field of GCN. In this paper, a multi-scale processing method for graph convolution network (GCN) is proposed to further improve the performance of GCN-based 3D reconstruction. The experiment results conducted on both synthetic and real-world data set have demonstrated the effectiveness of the proposed methods.</t>
  </si>
  <si>
    <t>We have witnessed the proliferation of machine learning and its applications, especially in network-based intrusion detection systems (NIDS). With the ability to learn complex informative systems from data, machine learning models play a crucial role in identifying and preventing network attacks. However, training these models requires a massive volume of labeled data, which is nontrivial to obtain. Moreover, public datasets are often unbalanced, outdated, and different with network traffic from the networks that need to be protected. Therefore, in this paper, we introduce a framework, namely DGIDS, for generating semi-synthetic datasets for NIDS, which combines synthetic data and regular network traffic collected from the local network. Our proposed framework is capable of producing both benign and attack network data with characteristics similar to those in real scenarios. In practical experiments, we show that the network data generated by DGIDS significantly increase the detection quality of NIDS trained by public datasets from 54% to 90.39%.</t>
  </si>
  <si>
    <t>Power grids are becoming more digitized, resulting in new opportunities for the grid operation but also new challenges, such as new threats from the cyber-domain. To address these challenges, cybersecurity solutions are being considered in the form of preventive, detective, and reactive measures. Machine learning-based intrusion detection systems are used as part of detection efforts to detect and defend against cyberattacks. However, training and testing data for these systems are often not available or suitable for use in machine learning models for detecting multi-stage cyberattacks in smart grids. In this paper, we propose a method to generate synthetic data using a graph-based approach for training machine learning models in smart grids. We use an abstract form of multi-stage cyberattacks defined via graph formulations and simulate the propagation behavior of attacks in the network. Within the selected scenarios, we observed promising results, but a larger number of scenarios need to be studied to draw a more informed conclusion about the suitability of synthesized data.</t>
  </si>
  <si>
    <t>Overlapping community detection has become a very hot research topic in recent decades, and a plethora of methods have been proposed. But, a common challenge in many existing overlapping community detection approaches is that the number of communities K must be predefined manually. We propose a flexible nonparametric Bayesian generative model for count-value networks, which can allow K to increase as more and more data are encountered instead of to be fixed in advance. The Indian buffet process was used to model the community assignment matrix Z, and an uncollapsed Gibbs sampler has been derived. However, as the community assignment matrix Z is a structured multi-variable parameter, how to summarize the posterior inference results and estimate the inference quality about Z, is still a considerable challenge in the literature. In this paper, a graph convolutional neural network based graph classifier was utilized to help to summarize the results and to estimate the inference quality about Z. We conduct extensive experiments on synthetic data and real data, and find that empirically, the traditional posterior summarization strategy is reliable.</t>
  </si>
  <si>
    <t>Graph databases (NoSQL oriented graph databases) provide the ability to manage highly connected data and complex database queries along with the native graph-storage and processing. A property graph in a NoSQL graph engine is a labeled directed graph composed of nodes connected through edges with a set of attributes or properties in the form of (key : value) pairs. It facilitates to represent the data and knowledge that are in form of graphs. Practical applications of graph database systems have been seen in social networks, recommendation systems, fraud detection, and data journalism, as in the case for panama papers. Often, we face the issue of missing data in such kind of systems. In particular, these semi-structured NoSQL databases lead to a situation where some attributes (properties) are filled-in while other ones are not available, either because they exist but are missing (for instance the age of a person that is unknown) or because they are not applicable for a particular case (for instance the year of military service for a girl in countries where it is mandatory only for boys). Therefore, some keys can be provided for some nodes and not for other ones. In such a scenario, when we want to extract knowledge from these new generation database systems, we face the problem of missing data that arises need for analyzing them. Some approaches have been proposed to replace missing values so as to be able to apply data mining techniques. However, we argue that it is not relevant to consider such approaches because they may introduce biases or errors. In our work, we focus on the extraction of gradual patterns from property graphs that provide end-users with tools for mining correlations in the data when there exist missing values. Our approach requires first to define gradual patterns in the context of NoSQL property graph and then to extend existing algorithms so as to treat the missing values, because anti-monotonicity of the support cannot be considered anymore in a simple manner. Thus, we introduce a novel approach for mining gradual patterns in the presence of missing values and we test it on real and synthetic data. (C) 2019 Elsevier B.V. All rights reserved.</t>
  </si>
  <si>
    <t>Testing whether two graphs come from the same distribution is of interest in many real-world scenarios, including brain network analysis. Under the random dot product graph model, the nonparametric hypothesis testing framework consists of embedding the graphs using the adjacency spectral embedding (ASE), followed by aligning the embeddings using the median flip heuristic and finally applying the nonparametric maximum mean discrepancy (MMD) test to obtain a p value. Using synthetic data generated from Drosophila brain networks, we show that the median flip heuristic results in an invalid test and demonstrate that optimal transport Procrustes (OTP) for alignment resolves the invalidity. We further demonstrate that substituting the MMD test with the multiscale graph correlation (MGC) test leads to a more powerful test both in synthetic and in simulated data. Lastly, we apply this powerful test to the right and left hemispheres of the larval Drosophila mushroom body brain networks and conclude that there is not sufficient evidence to reject the null hypothesis that the two hemispheres are equally distributed.</t>
  </si>
  <si>
    <t>Unsupervised feature selection (UFS) is a fundamental and indispensable dimension reduction method for large amount of high-dimensional unlabeled data samples. Without label information, the manifold learning technique is leveraged to compensate for the lack of discrimination with the selected features. However, it is still a challenging problem to capture the geometrical structure for practical data, which are often contaminated by noises and outliers. Additionally, the predetermined graph embedded UFS models suffer from the parameter tuning problem and the separated model optimization procedures. To generate more compact and discriminative feature subsets, we propose a Robust UFS model with Adaptive and Flexible &amp; ell;(1)-norm Graph (RAFG) embedding. Specifically, the &amp; ell;(2,1)-norm is imposed on the flexible regression term to alleviate the adverse effects of both noisy features and outliers, and &amp; ell;(2,p)-norm regularization term is incorporated to ensure that the selected transformation matrix is sufficiently sparse. Moreover, the adaptive &amp; ell;(1)-norm graph learning characterize the clustering distribution via consistent embeddings, which avoids time-consuming distance computations in a high-dimensional feature space. To solve the challenging problem, we propose an efficient alternative updating algorithm with an iterative reweighted strategy, together with the necessary convergence and complexity analyses. Finally, experimental results on two synthetic data and eight benchmark datasets illustrate the effectiveness and superiority of the proposed RAFG method compared with state-of-the-art methods.</t>
  </si>
  <si>
    <t>The space of graphs is often characterized by a nontrivial geometry, which complicates learning and inference in practical applications. A common approach is to use embedding techniques to represent graphs as points in a conventional Euclidean space, but non-Euclidean spaces have often been shown to be better suited for embedding graphs. Among these, constant-curvature Riemannian manifolds (CCMs) offer embedding spaces suitable for studying the statistical properties of a graph distribution, as they provide ways to easily compute metric geodesic distances. In this paper, we focus on the problem of detecting changes in stationarity in a stream of attributed graphs. To this end, we introduce a novel change detection framework based on neural networks and CCMs, which takes into account the non-Euclidean nature of graphs. Our contribution in this paper is twofold. First, via a novel approach based on adversarial learning, we compute graph embeddings by training an autoencoder to represent graphs on CCMs. Second, we introduce two novel change detection tests operating on CCMs. We perform experiments on synthetic data, as well as two real-world application scenarios: the detection of epileptic seizures using functional connectivity brain networks and the detection of hostility between two subjects, using human skeletal graphs. Results show that the proposed methods are able to detect even small changes in a graph-generating process, consistently outperforming approaches based on Euclidean embeddings.</t>
  </si>
  <si>
    <t>Bayesian Network (BN) modeling is a prominent and increasingly popular computational systems biology method. It aims to construct network graphs from the large heterogeneous biological datasets that reflect the underlying biological relationships. Currently, a variety of strategies exist for evaluating BN methodology performance, ranging from utilizing artificial benchmark datasets and models, to specialized biological benchmark datasets, to simulation studies that generate synthetic data from predefined network models. The last is arguably the most comprehensive approach; however, existing implementations often rely on explicit and implicit assumptions that may be unrealistic in a typical biological data analysis scenario, or are poorly equipped for automated arbitrary model generation. In this study, we develop a purely probabilistic simulation framework that addresses the demands of statistically sound simulations studies in an unbiased fashion. Additionally, we expand on our current understanding of the theoretical notions of causality and dependence / conditional independence in BNs and the Markov Blankets within.</t>
  </si>
  <si>
    <t>Background: Integrating results from multiple samples is often desirable, but privacy restrictions may preclude full data pooling, and most datasets do not include fully harmonized variable sets. We propose a simulation-based method leveraging partial information across datasets to guide creation of synthetic data based on explicit assumptions about the underlying causal structure that permits pooled analyses that adjust for all desired confounders in the context of privacy restrictions. Methods: This proof-of-concept project uses data from the Health and Retirement Study (HRS) and Atherosclerosis Risk in Communities (ARIC) study. We specified an estimand of interest and a directed acyclic graph (DAG) summarizing the presumed causal structure for the effect of glycated hemoglobin (HbA1c) on cognitive change. We derived publicly reportable statistics to describe the joint distribution of each variable in our DAG. These summary estimates were used as data-generating rules to create synthetic datasets. After pooling, we imputed missing covariates in the synthetic datasets and used the synthetic data to estimate the pooled effect of HbA1c on cognitive change, adjusting for all desired covariates. Results: Distributions of covariates and model coefficients and associated standard errors for our model estimating the effect of HbA1c on cognitive change were similar across cohort-specific original and preimputation synthetic data. The estimate from the pooled synthetic incorporates control for confounders measured in either original dataset. Discussion: Our approach has advantages over meta-analysis or individual-level pooling/data harmonization when privacy concerns preclude data sharing and key confounders are not uniformly measured across datasets.</t>
  </si>
  <si>
    <t>Infusing chemical wisdom should improve the data-driven approaches that rely exclusively on historical synthetic data for automatic retrosynthesis planning. For this purpose, we designed a chemistry-informed molecular graph (CIMG) to describe chemical reactions. A collection of key information that is most relevant to chemical reactions is integrated in CIMG:NMR chemical shifts as vertex features, bond dissociation energies as edge features, and solvent/catalyst information as global features. For any given compound as a target, a product CIMG is generated and exploited by a graph neural network (GNN) model to choose reaction template(s) leading to this product. A reactant CIMG is then inferred and used in two GNN models to select appropriate catalyst and solvent, respectively. Finally, a fourth GNN model compares the two CIMG descriptors to check the plausibility of the proposed reaction. A reaction vector is obtained for every molecule in training these models. The chemical wisdom of reaction propensity contained in the pretrained reaction vectors is exploited to autocategorize molecules/ reactions and to accelerate Monte Carlo tree search (MCTS) for multistep retrosynthesis planning. Full synthetic routes with recommended catalysts/solvents are predicted efficiently using this CIMG-based approach.</t>
  </si>
  <si>
    <t>As training deep learning models on large dataset takes a lot of time and resources, it is desired to construct a small synthetic dataset with which we can train deep learning models sufficiently. There are recent works that have explored solutions on condensing image datasets through complex bi-level optimization. For instance, dataset condensation (DC) matches network gradients w.r.t. large-real data and small-synthetic data, where the network weights are optimized for multiple steps at each outer iteration. However, existing approaches have their inherent limitations: (1) they are not directly applicable to graphs where the data is discrete; and (2) the condensation process is computationally expensive due to the involved nested optimization. To bridge the gap, we investigate efficient dataset condensation tailored for graph datasets where we model the discrete graph structure as a probabilistic model. We further propose a one-step gradient matching scheme, which performs gradient matching for only one single step without training the network weights. Our theoretical analysis shows this strategy can generate synthetic graphs that lead to lower classification loss on real graphs. Extensive experiments on various graph datasets demonstrate the effectiveness and efficiency of the proposed method. In particular, we are able to reduce the dataset size by 90% while approximating up to 98% of the original performance and our method is significantly faster than multi-step gradient matching (e.g. 15x in CIFAR10 for synthesizing 500 graphs)(1).</t>
  </si>
  <si>
    <t>Advanced route planning algorithms are one of the key enabling technologies for emerging electric and autonomous mobility. Large realistic data sets are needed to test such algorithms under conditions that capture natural time-varying traffic patterns and corresponding travel-time and energy-use predictions. Further, the time-varying availability of charging infrastructure and vehicle-specific charging-power curves may be necessary to support advanced planning. While some data sets and synthetic data generators capture some of the aspects mentioned above, no integrated testbeds include all of them. We contribute with a modular testbed architecture. First, it includes a semi-synthetic data generator that uses a state-of-the-art traffic simulator, real traffic volume distribution patterns, EV-specific data, and elevation data. These elements support the generation of time-dependent travel-time and energy-use weights in a road-network graph. The generator ensures that the data satisfies the FIFO property, which is essential for time-dependent routing. Next, the testbed provides a thin layer of services that can serve as building blocks for future advanced routing algorithms. The experimental study demonstrates that the testbed can reproduce travel-time and energy-use patterns for long-distance trips similar to commercially available services.</t>
  </si>
  <si>
    <t>Background: Multiple types of biomedical associations of knowledge graphs, including COVID-19-related ones, are constructed based on co-occurring biomedical entities retrieved from recent literature. However, the applications derived from these raw graphs (eg, association predictions among genes, drugs, and diseases) have a high probability of false-positive predictions as co-occurrences in the literature do not always mean there is a true biomedical association between two entities. Objective: Data quality plays an important role in training deep neural network models; however, most of the current work in this area has been focused on improving a model's performance with the assumption that the preprocessed data are clean. Here, we studied how to remove noise from raw knowledge graphs with limited labeled information. Methods: The proposed framework used generative-based deep neural networks to generate a graph that can distinguish the unknown associations in the raw training graph. Two generative adversarial network models, NetGAN and Cross-Entropy Low-rank Logits (CELL), were adopted for the edge classification (ie, link prediction), leveraging unlabeled link information based on a real knowledge graph built from LitCovid and Pubtator. Results: The performance of link prediction, especially in the extreme case of training data versus test data at a ratio of 1:9, demonstrated that the proposed method still achieved favorable results (area under the receiver operating characteristic curve &gt;0.8 for the synthetic data set and 0.7 for the real data set), despite the limited amount of testing data available. Conclusions: Our preliminary findings showed the proposed framework achieved promising results for removing noise during data preprocessing of the biomedical knowledge graph, potentially improving the performance of downstream applications by providing cleaner data.</t>
  </si>
  <si>
    <t>Engineering data, including product data-conversion networks and software dependency networks, are very important for the long-term preservation of product information. With the explosive growth of data in recent years, product information has become increasingly diversified and complex, which poses new challenges to the long-term preservation of product data. A better understanding of the functions of complex networks can help us take more effective measures to maintain and control such complex systems, and then adopt more effective methods to achieve life cycle management. It is currently difficult for traditional heuristic methods to deal with such large-scale complex systems. In recent years, however, the use of graph neural networks to identify key nodes attracted widespread attention, but this requires a large amount of training data. It is difficult to obtain large-scale relational data and establish identification models in engineering fields. Combining a graph convolution network with a data-mining method, a key node identification method in a graph convolution network based on data mining is proposed. The method first determines the type of complex network according to the power-law distribution and centrality of the network and then uses the corresponding evolutionary model to generate a large-scale synthetic network to effectively train the model. The experimental results from two real networks show that this method improves the identification performance of key nodes by using synthetic data with the same characteristics as the real network, and provides a new perspective for product life cycle management.</t>
  </si>
  <si>
    <t>In network analysis, it is common to work with a collection of graphs that exhibit heterogeneity. For example, neuroimaging data from patient cohorts are increasingly available. A critical analytical task is to identify communities, and graph Laplacian-based methods are routinely used. However, these methods are currently limited to a single network and also do not provide measures of uncertainty on the community assignment. In this work, we first propose a probabilistic network model called the Spiked Laplacian Graph that considers an observed network as a transform of the Laplacian and degree matrices of the network generating process, with the Laplacian eigenvalues modeled by a modified spiked structure. This effectively reduces the number of parameters in the eigenvectors, and their sign patterns allow efficient estimation of the underlying community structure. Further, the posterior distribution of the eigenvectors provides uncertainty quantification for the community estimates. Second, we introduce a Bayesian non-parametric approach to address the issue of heterogeneity in a collection of graphs. Theoretical results are established on the posterior consistency of the procedure and provide insights on the trade-off between model resolution and accuracy. We illustrate the performance of the methodology on synthetic data sets, as well as a neuroscience study related to brain activity in working memory.</t>
  </si>
  <si>
    <t>Image-based multiplexed in situ RNA detection makes it possible to map the spatial gene expression of hundreds to thousands of genes in parallel, and thus discern at the same time a large numbers of different cell types to better understand tissue development, heterogeneity, and disease. Fluorescent signals are detected over multiple fluorescent channels and imaging rounds and decoded in order to identify RNA molecules in their morphological context. Here we present a graph-based decoding approach that models the decoding process as a network flow problem jointly optimizing observation likelihoods and distances of signal detections, thus achieving robustness with respect to noise and spatial jitter of the fluorescent signals. We evaluated our method on synthetic data generated at different experimental conditions, and on real data of in situ RNA sequencing, comparing results with respect to alternative and gold standard image decoding pipelines.</t>
  </si>
  <si>
    <t>Structured stochastic processes evolving in continuous time present a widely adopted framework to model phenomena occurring in nature and engineering. However, such models are often chosen to satisfy the Markov property to maintain tractability. One of the more popular of such memoryless models are Continuous Time Bayesian Networks (CTBNs). In this work, we lift its restriction to exponential survival times to arbitrary distributions. Current extensions achieve this via auxiliary states, which hinder tractability. To avoid that, we introduce a set of node-wise clocks to construct a collection of graph-coupled semi-Markov chains. We provide algorithms for parameter and structure inference, which make use of local dependencies and conduct experiments on synthetic data and a data-set generated through a benchmark tool for gene regulatory networks. In doing so, we point out advantages compared to current CTBN extensions.</t>
  </si>
  <si>
    <t>Causal discovery methods are intrinsically constrained by the set of assumptions needed to ensure structure identifiability. Moreover additional restrictions are often imposed in order to simplify the inference task: this is the case for the Gaussian noise assumption on additive nonlinear models, which is common to many causal discovery approaches. In this paper we show the shortcomings of inference under this hypothesis, analyzing the risk of edge inversion under violation of Gaussianity of the noise terms. Then, we propose a novel method for inferring the topological ordering of the variables in the causal graph, from data generated according to an additive nonlinear model with a generic noise distribution. This leads to NoGAM (Not only Gaussian Additive noise Models), a causal discovery algorithm with a minimal set of assumptions and state of the art performance, experimentally benchmarked on synthetic data.</t>
  </si>
  <si>
    <t>Electric and autonomous mobility will increasingly rely on advanced route planning algorithms. Robust testing of these algorithms is dependent on the availability of large realistic data sets. Such data sets should capture realistic time-varying traffic patterns and corresponding travel-time and energy-use predictions. Ideally, time-varying availability of charging infrastructure and vehicle-specific charging-power curves should be included in the data to support advanced planning. We contribute with a modular testbed architecture including a semi-synthetic data generator that uses a state-of-the-art traffic simulator, real traffic distribution patterns, EV-specific data, and elevation data to generate time-dependent travel-time and energy-use weights in a road-network graph. The experimental study demonstrates that the testbed can reproduce travel-time and energy-use patterns for long-distance trips similar to commercially available services.</t>
  </si>
  <si>
    <t>Enabling household robots to passively learn task-level skills from human demonstration could substantially boost their application in daily life. In this letter, we propose a Learning from Demonstration (LfD) scheme capturing human uni/bimanual demonstrations with motion capture suit and virtual reality (VR) trackers, wherein the demonstrated skills are transferred to a humanoid with a learnable graph attention network (GAT) based model. The model trained with human hand trajectories and target object poses yield the movement policy as a trajectory generator, which outputs the Cartesian trajectories for robot end-effectors to execute the task given their poses and optionally the object's initial pose as input. Test on synthetic data and three real robot experiments indicated that the policy could learn unimanual and coordinated bimanual, interactive and non-interactive manipulation skills with a unified scheme.</t>
  </si>
  <si>
    <t>Hyperspectral unmixing has received increasing attention as a technique for estimating endmember spectra and fractional abundances of land covers. Encoding high-dimensional hyperspectral data into a low-dimensional latent space to generate reasonable abundances, autoencoder (AE) has shown its great potential and attractive advantages in spectral unmixing. AEs decode abundances back to spectra, which can effectively reflect the general spectral mixing process. However, most existing AE-based unmixing methods often do not fully exploit the spatial information of hyperspectral images, hindering the improvement of unmixing accuracy. This article proposes a graph attention convolutional autoencoder architecture for hyperspectral unmixing. By incorporating graph attention convolution into AE, the proposed method performs better in leveraging both long-range and short-range spatial information of hyperspectral images. Accurate abundances with global and local spatial consistency can be efficiently learned by the network. Moreover, the decoder is further improved based on the postpolynomial nonlinear mixing model to make the network have stronger physical interpretability to deal with the issue of nonlinear blind unmixing. Experimental results indicate that the proposed method has good unmixing performance. It can reduce the root mean squared error of estimated abundances for synthetic data by over 10% compared to other methods. In experiments with real hyperspectral data, the difference between its unmixing results' accuracy and the best is less than 5%.</t>
  </si>
  <si>
    <t>Seismic phase association connects earthquake arrival-time measurements to their causa-tive sources. Effective association must determine the number of discrete events, their location, and origin times, and it must differentiate real arrivals from measurement arti-facts. The advent of deep-learning (DL) pickers, which provide high rates of picks from closely overlapping small-magnitude earthquakes, motivates revisiting the phase associ-ation problem and approaching it using the methods of DL. We have developed a graph neural network associator that simultaneously predicts both source space-time localiza-tion, and discrete source-arrival association likelihoods. The method is applicable to arbi-trary geometry, time-varying seismic networks of hundreds of stations, and is robust to high rates of sources and input picks with variable noise and quality. Our Graph Earthquake Neural Interpretation Engine (GENIE) uses one graph to represent the station set and another to represent the spatial source region. GENIE learns relationships from data in this combined representation that enable it to determine robust source and source-arrival associations. We train on synthetic data, and test our method on real data from the northern California seismic network using input generated by the PhaseNet DL phase picker. We successfully re-detect -96% of all events M &gt; 1 reported by the U.S. Geological Survey (USGS) during 500 random days between 2000 and 2022. Over a 100-day continuous interval of processing in 2017-2018, we detect -4x the number of events reported by the USGS. Our new events have small-magnitude estimates below the magnitude of completeness of the USGS catalog, and are located close to the active faults and quarries in the region. Our results demonstrate that GENIE can effectively solve the association problem under complex seismic monitoring conditions.</t>
  </si>
  <si>
    <t>In the context of autonomous driving and road situation awareness, this manuscript introduces a Bayesian network that enables the prediction of participant vehicles (PVs) circulating on a highway. The network architecture combines Long-Short-Term-Memory recurrent Deep networks and Support Vector Machines as computational nodes in a graph. The network inputs are real data acquired by radar and synthetic data generated mimicking the real ones. The interaction among multiple vehicles is handled explicitly by introducing the Allowance Factors that model the constraints of the possible interactions of the PVs and the ego car in the trajectory forecast estimation. Results obtained on the conducted tests show the ability of the system to predict the motion of the vehicles up to 6 s in advance with a 92% mean average accuracy. Additionally, if implemented into automatic trajectory planners, the introduced modeling approach enables the prediction and avoidance of possible vehicles' collisions.</t>
  </si>
  <si>
    <t>Clustering is a typical unsupervised data analysis method, which divides a given data set without label information into multiple clusters. The data on each cluster has a great deal of association, which can be used as the preprocessing stage of other algorithms or for further association analysis. Therefore, clustering plays an important role in a wide range of fields. Chameleon is a clustering algorithm that combines the relative interconnectivity and relative closeness to find clusters of arbitrary shape with high quality. However, the graph-partitioning technology hMETIS algorithm used in the algorithm is difficult to operate and easy to cause uncertainty of results. In addition, the final number of clusters need to be specified by user as a parameter to stop merging, which is difficult to determine without prior information. Aiming at these shortcomings, Chameleon algorithm based on mutual k-nearest neighbors (MChameleon) is proposed. Firstly, the idea of mutual k-nearest neighbors is introduced to directly generate sub-clusters, which omits the process of partitioning graph. Then, the concept of MC modularity is introduced, which is used to objectively identify the final clustering results. By experiments on artificial data sets and UCI data sets, we compared MChameleon with the original Chameleon algorithm, the improved AChameleon algorithm and the classic K-Means, DBSCAN, BIRCH algorithm in accuracy. Experimental results on data sets show that Chameleon algorithm based on mutual k-nearest neighbors has great advantages and is feasible.</t>
  </si>
  <si>
    <t>Motivation: Few-shot learning that can effectively perform named entity recognition in low-resource scenarios has raised growing attention, but it has not been widely studied yet in the biomedical field. In contrast to high-resource domains, biomedical named entity recognition (BioNER) often encounters limited human-labeled data in real-world scenarios, leading to poor generalization performance when training only a few labeled instances. Recent approaches either leverage cross-domain high-resource data or fine-tune the pre-trained masked language model using limited labeled samples to generate new synthetic data, which is easily stuck in domain shift problems or yields low-quality synthetic data. Therefore, in this article, we study a more realistic scenario, i.e. few-shot learning for BioNER. Results: Leveraging the domain knowledge graph, we propose knowledge-guided instance generation for few-shot BioNER, which generates diverse and novel entities based on similar semantic relations of neighbor nodes. In addition, by introducing question prompt, we cast BioNER as question-answering task and propose prompt contrastive learning to improve the robustness of the model by measuring the mutual information between query-answer pairs. Extensive experiments conducted on various few-shot settings show that the proposed framework achieves superior performance. Particularly, in a low-resource scenario with only 20 samples, our approach substantially outperforms recent state-of-the-art models on four benchmark datasets, achieving an average improvement of up to 7.1% F1. Availability and implementation: Our source code and data are available at https://github.com/cpmss521/KGPC.</t>
  </si>
  <si>
    <t>Applying machine-learning techniques for imbalanced data sets presents a significant challenge in materials science since the underrepresented characteristics of minority classes are often buried by the abundance of unrelated characteristics in majority of classes. Existing approaches to address this focus on balancing the counts of each class using oversampling or synthetic data generation techniques. However, these methods can lead to loss of valuable information or overfitting. Here, we introduce a deep learning framework to predict minority-class materials, specifically within the realm of metal-insulator transition (MIT) materials. The proposed approach, termed boosting-CGCNN, combines the crystal graph convolutional neural network (CGCNN) model with a gradient-boosting algorithm. The model effectively handled extreme class imbalances in MIT material data by sequentially building a deeper neural network. The comparative evaluations demonstrated the superior performance of the proposed model compared to other approaches. Our approach is a promising solution for handling imbalanced data sets in materials science.</t>
  </si>
  <si>
    <t>In this paper, the problem of clustering data points that lie near or on a union of independent low-dimensional subspaces is addressed. To this end, the popular spectral clustering-based algorithms usually follow a two-stage strategy that initially builds an affinity matrix and then applies spectral clustering. However, an inappropriate affinity matrix that does not sufficiently connect data points lying on the same subspace will easily lead to the issue of over-segmentation. To alleviate this issue, building the affinity matrix based on subspace hypotheses generated by an iterative sampling operation according to the Random Cluster Model under the framework of energy minimisation is proposed. Specifically, each hypothesis is generated from a large number of data points by sampling a component in a K-nearest neighbour graph. Extensive experiments on synthetic data and real-world datasets show that the proposed method can improve the connectivity of the affinity matrix and provide competitive results against state-of-the-art methods.</t>
  </si>
  <si>
    <t>In causal discovery, linear non-Gaussian acyclic models (LiNGAMs) have been studied extensively. While the causally sufficient case is well understood, in many real applications the observed variables are not causally related. Rather, they are generated by latent variables, such as confounders and mediators, which may themselves be causally related. Existing results on the identification of the causal structure among the latent variables often require very strong graphical assumptions. In this paper, we consider partially observed linear models with either non-Gaussian or heterogeneous errors. In that case we give two graphical conditions which are necessary for identification of the causal structure. These conditions are closely related to sparsity of the causal edges. Together with one additional condition on the coefficients, which holds generically for any graph, the two graphical conditions are also sufficient for identifiability. These new conditions can be satisfied even when the number of latent variables is very large. We demonstrate the validity of our results on synthetic data.</t>
  </si>
  <si>
    <t>Detecting anomalous sequences is an integral part of building and protecting modern large-scale health information technology (HIT) systems. These HIT systems generate a large volume of records of patients' state and significant events, which provide a valuable resource to help improve clinical decisions, patient care processes, and other issues. However, detecting anomalous sequences in electronic health records (EHR) remains a challenge in healthcare applications for several reasons, including imbalances in the data, complexity of relationships between events in the sequence, and the curse of dimensionality. Conventional anomaly detection methods use the finite sequence of events to discriminate sequences. They fail to incorporate salient event details under variable higher-order dependencies (e.g., duration between events) that can provide better discrimination of sequences in their models. To address this problem, we propose event sequence and subsequence anomaly detection algorithms that (1) use network-based representations of interactions in the data, (2) account for variable higher-order dependencies in the data, and (3) incorporate events duration for adequate discrimination of the data. The proposed approach identifies anomalies by monitoring the change in the graph after the test sequence is removed from the network. The change is quantified using graph distance metrics so that dramatic changes in the network can be attributed to the removed sequence. Furthermore, the proposed subsequence algorithm recommends plausible paths and salient information for the detected anomalous subsequences. Our results show that the proposed event sequence anomaly detection algorithm outperforms the baseline methods for both synthetic data and real-world EHR data.</t>
  </si>
  <si>
    <t>In multi-elemental compound-specific isotope analysis the lambda (Lambda) value expresses the isotope shift of one element versus the isotope shift of a second element. In dual-isotope plots, the slope of the regression lines typical reveals the footprint of the underlying isotope effects allowing to distinguish degradation pathways of an organic contaminant molecule in the environment. While different conventions and fitting procedures are used in the literature to determine Lambda, it remains unclear how they affect the magnitude of Lambda. Here we generate synthetic data for benzene delta H-2 and delta C-13 with two enrichment factors epsilon(H) and epsilon(C) using the Rayleigh equation to examine how different conventions and linear fitting procedures yield distinct Lambda. Fitting an error-free data set in a graph plotting the delta H-2 versus delta C-13 overestimates Lambda by 0.225%.epsilon(H)/epsilon(C), meaning that if epsilon(H)/epsilon(C) is larger than 22, Lambda is overestimated by more than 5%. The correct fitting of Lambda requires a natural logarithmic transformation of delta H-2 versus delta C-13 data. Using this transformation, the ordinary linear regression (OLR), the reduced major-axis (RMA) and the York methods find the correct A, even for large epsilon(H)/epsilon(C). Fitting a dataset with synthetic data with typical random errors let to the same conclusion and positioned the suitability of each regression method. We conclude that fitting of non-transformed delta values should be discontinued. The validity of most previous A values is not compromised, although previously obtained Lambda values for large epsilon(H)/epsilon(C) could be corrected using our error estimation to improve comparison. (C) 2020 Elsevier Ltd. All rights reserved.</t>
  </si>
  <si>
    <t>Spectral Clustering (SC) is an important method in areas such as data mining, image processing, computer science and so on. It attracts more and more attention owing to its effectiveness in unsupervised learning. However, SC has poor performance in the high-dimensional data. Traditional SC methods conduct the spectral embedding of the affinity matrix among data at the first beginning, and then obtain clustering results by the K-means clustering. The also have drawbacks int two processing steps: the clustering results are sensitive to the affinity matrix which may be inaccurate and the post-processing K-means may also be limited by its initialization problem. In the paper, a new approach which joints spectral embedding and clustering with structured graph optimization (called JSEGO) is proposed. In the new model, the low-dimensional representation of data can first be obtained by the spectral embedding method, which can handle with the high-dimensional data better. Then, the optimization similarity matrix would be obtained with such the embedded data. Furthermore, the learning structure graph gives feedback to the similarity matrix to generate better spectral embedded data. As a result, better similarity matrix and clustering result can be obtained by the iterations simultaneously, which are often conducted in two separate steps in the spectral clustering. As a result, the drawbacks introduced by the two process-ing introduces can be solved. At last, we use an alternative optimization method in the new model and conduct the theoretical analysis by comparing this proposed method with K-means clustering. Experiments based on synthetic data and actual benchmark data prove the advantage of this new approach.(c) 2022 Published by Elsevier B.V.</t>
  </si>
  <si>
    <t>A new modelling approach for the analysis of weighted networks with ordinal/polytomous dyadic values is introduced. Specifically, it is proposed to model the weighted network connectivity structure using a hierarchical multilayer exponential random graph model (ERGM) generative process where each network layer represents a different ordinal dyadic category. The network layers are assumed to be generated by an ERGM process conditional on their closest lower network layers. A crucial advantage of the proposed method is the possibility of adopting the binary network statistics specification to describe both the between-layer and across-layer network processes and thus facilitating the interpretation of the parameter estimates associated to the network effects included in the model. The Bayesian approach provides a natural way to quantify the uncertainty associated to the model parameters. From a computational point of view, an extension of the approximate exchange algorithm is proposed to sample from the doubly-intractable parameter posterior distribution. A simulation study is carried out on artificial data and applications of the methodology are illustrated on well-known datasets. Finally, a goodness-of-fit diagnostic procedure for model assessment is proposed. (C) 2019 Elsevier B.V. All rights reserved.</t>
  </si>
  <si>
    <t>We consider the problem of learning causal models from observational data generated by linear non-Gaussian acyclic causal models with latent variables. Without considering the effect of latent variables, the inferred causal relationships among the observed variables are often wrong. Under faithfulness assumption, we propose a method to check whether there exists a causal path between any two observed variables. From this information, we can obtain the causal order among the observed variables. The next question is whether the causal effects can be uniquely identified as well. We show that causal effects among observed variables cannot be identified uniquely under mere assumptions of faithfulness and non-Gaussianity of exogenous noises. However, we are able to propose an efficient method that identifies the set of all possible causal effects that are compatible with the observational data. We present additional structural conditions on the causal graph under which causal effects among observed variables can be determined uniquely. Furthermore, we provide necessary and sufficient graphical conditions for unique identification of the number of variables in the system. Experiments on synthetic data and real-world data show the effectiveness of our proposed algorithm for learning causal models.</t>
  </si>
  <si>
    <t>This study presents an analytical model for estimating minimum horizontal stress inhydraulic fracturing stimulations. The conventional Diagnostic Fracture Injection Test (DFIT) isnot practical in ultra-tight formations, leading to the need for pump-in/flowback tests. However,ambiguities in the results of these tests have limited their application. The proposed model is basedon the linear diffusivity equation and material balance, which is analytically solved and verifiedusing a commercially available numerical simulator. The model generates a linear graph in which thepressure drop and its derivative are plotted versus the developed solution time function. The closurepressure is determined when the slope of the derivative deviates from linearity. The model wasapplied to several cycles of field flowback tests and found to eliminate the ambiguity associatedwith identifying the fracture closure. Furthermore, the minimum In-situ stresses estimated usingthis approach are verified via downhole strain measurement and synthetic data from a fully 3Dcommercial fracturing simulator. The proposed technique outperformed other conventional methodsin analyzing challenging injection/shut-in tests, showing improved results and reducing uncertaintyin estimated fracture parameters. This model is expected to scale down the need for multiple fieldtrials and provide a reliable estimation of minimum stress.</t>
  </si>
  <si>
    <t>IOTA organizes transactions in the ledger as a Directed Acyclic Graph (DAG) called Tangle, instead of a hash chain of transaction blocks used by most of traditional blockchains. IOTA is considered a promising platform to support Internet-of-Things (IoT) applications with its key features such as micro-payment support and absence of transaction fees. While prior art shows extensive analysis based on synthetic data generated through simulations, an analysis based on empirical data from a deployed IOTA network is still missing. In this paper, we provide the first comprehensive analysis by using real transaction data officially published by IOTA Foundation. Our key finding is that neither the tangle's topological features nor the actual observed performance is consistent with the main conclusions from the literature. In particular, most of transactions take roughly 10 minutes to be officially confirmed, which is not exactly instant as commonly assumed; yet, what is arguably worse is that there is a certain amount (5%) of transactions experiencing exceptionally long confirmation time. This shows that IOTA still has gaps to meet the stringent requirements of IoT applications that arc delay sensitive.</t>
  </si>
  <si>
    <t>Imbalanced classification is a challenging problem in machine learning and data mining. Oversampling methods, such as the Synthetic Minority Oversampling Technique (SMOTE), generate synthetic data to achieve data balance for imbalanced classification. However, such kind of oversampling methods generates unnecessary noise when the data are not well separated. On the other hand, there are many applications with inadequate training data and vast testing data, making the imbalanced classification much more challenging. In this paper, we propose a novel oversampling framework to achieve the following two objectives. (1) Improving the classification results of the SMOTE based oversampling methods; (2) Making the SMOTE based oversampling methods applicable when the training data are inadequate. The proposed framework utilizes the Laplacian eigenmaps to find an optimal dimensional space, where the data are well separated and the generation of noise by SMOTE based oversampling methods can be avoided. The construction of graph Laplacian not only explores the useful information from the unlabeled testing data to facilitate imbalanced learning, but also makes the learning process incremental. Experimental results on several benchmark datasets demonstrate the effectiveness of the proposed framework. (C) 2020 Elsevier B.V. All rights reserved.</t>
  </si>
  <si>
    <t>Past events have revealed that widespread blackouts are mostly a result of cascading failures in the power grid. Understanding the underlining mechanisms of cascading failures can help in developing strategies to minimize the risk of such events. Moreover, a real-time detection of precursors to cascading failures will help operators take measures to prevent their propagation. Currently, the well-established probabilistic and physics-based models of cascading failures offer low computational efficiency, hindering them to be used only as offline tools. In this work, we develop a data-driven methodology for online estimation of the risk of cascading failures. We utilize a physics-based cascading failure model to generate a cascading failure dataset considering different operating conditions and failure scenarios, thus obtaining a sample space covering a large set of power grid states that are labeled as safe or unsafe. We use the synthetic data to train deep learning architectures, namely Feed-forward Neural Networks (FNN) and Graph Neural Networks (GNN). With the development of GNNs, improved performance is achieved with graph-structured data, and GNNs can generalize to graphs of diverse sizes. A comparison between FNN and GNN is made and the GNNs inductive capability is demonstrated via test grids. Furthermore, we apply transfer learning to improve the performance of a pre-trained GNN model on power grids not seen in the training process. The GNN model shows accuracy and balanced accuracy above 96% on selected test datasets not used in the training. Conversely, the FNN shows accuracy above 85% and balanced accuracy above 81% on test datasets unseen during training. Overall, the GNN model is successful in determining, if one or several simultaneous outages result in a critical grid state, under specific grid operating conditions.</t>
  </si>
  <si>
    <t>This paper proposes a one-to-one trajectory synthetization method with stable long-term individual mobility behavior based on a generalizable area embedding. Previous methods concentrate on producing highly detailed data on short-term and restricted areas for, e.g., autonomous driving scenarios. Another possibility consists of city-wide and beyond scales that can be used to predict general traffic flows. The now-presented approach takes the tracked mobility behavior of individuals and creates coherent synthetic mobility data. These generated data reflect the person's long-term mobility behavior, guaranteeing location persistency and sound embedding within the point-of-interest structure of the observed area. After an analysis and clustering step of the original data, the area is distributed into a geospatial grid structure (H3 is used here). The neighborhood relationships between the grids are interpreted as a graph. A feed-forward autoencoder and a graph encoding-decoding network generate a latent space representation of the area. The original clustered data are associated with their respective H3 grids. With a greedy algorithm approach and concerning privacy strategies, new combinations of grids are generated as top-level patterns for individual mobility behavior. Based on the original data, concrete locations within the new grids are found and connected to ways. The goal is to generate a dataset that shows equivalence in aggregated characteristics and distances in comparison with the original data. The described method is applied to a sample of 120 from a study with 1000 participants whose mobility data were generated in the city of Munich in Germany. The results show the applicability of the approach in generating synthetic data, enabling further research on individual mobility behavior and patterns. The result comprises a sharable dataset on the same abstraction level as the input data, which can be beneficial for different applications, particularly for machine learning.</t>
  </si>
  <si>
    <t>Mobile network traffic data offers unprecedented opportunities for innovative studies within and beyond networking. However, progress is hindered by the very limited access that the research community at large has to the real-world mobile network data that is needed to develop and dependably test mobile traffic data-driven solutions. As a contribution to overcome this barrier, we propose CartaGenie, a generator of realistic mobile traffic snapshots at city scale. Taking a deep generative modeling approach and through a tailored conditional generator design, CartaGenie can synthesize high-fidelity and artifact-free spatial traffic snapshots using only contextual information about the target geographical region that is easily found in public repositories. Hence, CartaGenie allows researchers to create their own realistic datasets of spatial traffic from open data about their region of interest. Experiments with real-world mobile traffic measurements collected in multiple metropolitan areas show that CartaGenie can produce dependable network traffic loads for areas where no prior traffic information is available, significantly outperforming a comprehensive set of benchmarks. Moreover, tests with practical case studies demonstrate that the synthetic data generated by CartaGenie is as good as real data in supporting diverse research-oriented mobile traffic data-driven applications.</t>
  </si>
  <si>
    <t>Data-driven medical care delivery must always respect patient privacy-a requirement that is not easily met. This issue has impeded improvements to healthcare software and has delayed the long-predicted prevalence of artificial intelligence in healthcare. Until now, it has been very difficult to share data between healthcare organizations, resulting in poor statistical models due to unrepresentative patient cohorts. Synthetic data, i.e., artificial but realistic electronic health records, could overcome the drought that is troubling the healthcare sector. Deep neural network architectures, in particular, have shown an incredible ability to learn from complex data sets and generate large amounts of unseen data points with the same statistical properties as the training data. Here, we present a generative neural network model that can create synthetic health records with realistic timelines. These clinical trajectories are generated on a per-patient basis and are represented as linear-sequence graphs of clinical events over time. We use a variational graph autoencoder (VGAE) to generate synthetic samples from real-world electronic health records. Our approach generates health records not seen in the training data. We show that these artificial patient trajectories are realistic and preserve patient privacy and can therefore support the safe sharing of data across organizations.</t>
  </si>
  <si>
    <t>This work proposes a novel visual Simultaneous Localisation and Mapping (vSLAM) approach for robots in sewer pipe networks. One problem of vSLAM in pipes is that the scale drifts and accuracy degrades. We propose the use of structural information to mitigate this problem via cylindrical regularity. The main novelty consists of an approach for cylinder detection that is more robust than previous methods in non-smooth sewer pipe environments. Cylindrical regularity is then incorporated into both local bundle adjustment and pose graph optimisation. The approach adopts a minimal cylinder representation with only five parameters, avoiding constraints during the optimisation in vSLAM. A further novelty is that the estimated cylinder is part of the scale drift estimation, which enables a correction to the translation estimate and this further improves the accuracy. The approach, termed Cylindrical Regularity ORB-SLAM (CRORB), is benchmarked and compared to leading visual SLAM algorithms ORB-SLAM2 and direct sparse odometry (DSO), as well as a vSLAM algorithm with cylindrical regularity developed for gas pipes, using real sewer pipe data and synthetic data generated with the Gazebo modelling software. The results demonstrate that CRORB improves substantially over the competitors, with a reduction of approximately 70% in error on real data.</t>
  </si>
  <si>
    <t>We propose a counterfactual approach to train causality-aware predictive models that are able to leverage causal information in static anticausal machine learning tasks (i.e., prediction tasks where the outcome influences the inputs). In applications plagued by confounding, the approach can be used to generate predictions that are free from the influence of observed confounders. In applications involving observed mediators, the approach can be used to generate predictions that only capture the direct or the indirect causal influences. Mechanistically, we train supervised learners on (counterfactually) simulated inputs that retain only the associations generated by the causal relations of interest. We focus on linear models, where analytical results connecting covariances, causal effects, and prediction mean square errors are readily available. Quite importantly, we show that our approach does not require knowledge of the full causal graph. It suffices to know which variables represent potential confounders and/or mediators. We investigate the stability of the method with respect to dataset shifts generated by selection biases and also relax the linearity assumption by extending the approach to additive models better able to account for nonlinearities in the data. We validate our approach in a series of synthetic data experiments and illustrate its application to a real dataset.</t>
  </si>
  <si>
    <t>We consider the problem of estimating the location of a single change point in a network generated by a dynamic stochastic block model mechanism. This model produces community structure in the network that exhibits change at a single time epoch. We propose two methods of estimating the change point, together with the model parameters, before and after its occurrence. The first employs a least-squares criterion function and takes into consideration the full structure of the stochastic block model and is evaluated at each point in time. Hence, as an intermediate step, it requires estimating the community structure based on a clustering algorithm at every time point. The second method comprises the following two steps: in the first one, a least-squares function is used and evaluated at each time point, but ignoring the community structure and only considering a random graph generating mechanism exhibiting a change point. Once the change point is identified, in the second step, all network data before and after it are used together with a clustering algorithm to obtain the corresponding community structures and subsequently estimate the generating stochastic block model parameters. The first method, since it requires knowledge of the community structure and hence clustering at every point in time, is significantly more computationally expensive than the second one. On the other hand, it requires a significantly less stringent identifiability condition for consistent estimation of the change point and the model parameters than the second method; however, it also requires a condition on the misclassification rate of misallocating network nodes to their respective communities that may fail to hold in many realistic settings. Despite the apparent stringency of the identifiability condition for the second method, we show that networks generated by a stochastic block mechanism exhibiting a change in their structure can easily satisfy this condition under a multitude of scenarios, including merging/splitting communities, nodes joining another community, etc. Further, for both methods under their respective identifiability and certain additional regularity conditions, we establish rates of convergence and derive the asymptotic distributions of the change point estimators. The results are illustrated on synthetic data. In summary, this work provides an in-depth investigation of the novel problem of change point analysis for networks generated by stochastic block models, identifies key conditions for the consistent estimation of the change point, and proposes a computationally fast algorithm that solves the problem in many settings that occur in applications. Finally, it discusses challenges posed by employing clustering algorithms in this problem, that require additional investigation for their full resolution.</t>
  </si>
  <si>
    <t>Recent advances in neuromorphic algorithm development have shown that neural inspired architectures can efficiently solve scientific computing problems including graph decision problems and partial-integro differential equations (PIDEs). The latter requires the generation of a large number of samples from a stochastic process. While the Monte Carlo approximation of the solution of the PIDEs converges with an increasing number of sampled neuromorphic trajectories, the fidelity of samples from a given stochastic process using neuromorphic hardware requires verification. Such an exercise increases our trust in this emerging hardware and works toward unlocking its energy and scaling efficiency for scientific purposes such as synthetic data generation and stochastic simulation. In this paper, we focus our verification efforts on a one-dimensional Ornstein-Uhlenbeck stochastic differential equation. Using a discrete-time Markov chain approximation, we sample trajectories of the stochastic process across a variety of parameters on an Intel 8-Loihi chip Nahuku neuromorphic platform. Using relative entropy as a verification measure, we demonstrate that the random samples generated on Loihi are, in an average sense, acceptable. Finally, we demonstrate how Loihi's fidelity to the distribution changes as a function of the parameters of the Ornstein-Uhlenbeck equation, highlighting a trade-off between the lower-precision random number generation of the neuromorphic platform and our algorithm's ability to represent a discrete-time Markov chain.</t>
  </si>
  <si>
    <t>To facilitate diagnosis on cardiac ultrasound (US), clinical practice has established several standard views of the heart, which serve as reference points for diagnostic measurements and define viewports from which images are acquired. Automatic view recognition involves grouping those images into classes of standard views. Although deep learning techniques have been successful in achieving this, they still struggle with fully verifying the suitability of an image for specific measurements due to factors like the correct location, pose, and potential occlusions of cardiac structures. Our approach goes beyond view classification and incorporates a 3D mesh reconstruction of the heart that enables several more downstream tasks, like segmentation and pose estimation. In this work, we explore learning 3D heart meshes via graph convolutions, using similar techniques to learn 3D meshes in natural images, such as human pose estimation. As the availability of fully annotated 3D images is limited, we generate synthetic US images from 3D meshes by training an adversarial denoising diffusion model. Experiments were conducted on synthetic and clinical cases for view recognition and structure detection. The approach yielded good performance on synthetic images and, despite being exclusively trained on synthetic data, it already showed potential when applied to clinical images. With this proof-of-concept, we aim to demonstrate the benefits of graphs to improve cardiac view recognition that can ultimately lead to better efficiency in cardiac diagnosis.</t>
  </si>
  <si>
    <t>In this work, we present an attention-based encoder-decoder model to approximately solve the team orienteering problem with multiple depots (TOPMD). The TOPMD instance is an NP-hard combinatorial optimization problem that involves multiple agents (or autonomous vehicles) and not purely Euclidean (straight line distance) graph edge weights. In addition, to avoid tedious computations on dataset creation, we provide an approach to generate synthetic data on the fly for effectively training the model. Furthermore, to evaluate our proposed model, we conduct two experimental studies on the multi-agent reconnaissance mission planning problem formulated as TOPMD. First, we characterize the model based on the training configurations to understand the scalability of the proposed approach to unseen configurations. Second, we evaluate the solution quality of the model against several baselines--heuristics, competing machine learning (ML), and exact approaches, on several reconnaissance scenarios. The experimental results indicate that training the model with a maximum number of agents, a moderate number of targets (or nodes to visit), and moderate travel length, performs well across a variety of conditions. Furthermore, the results also reveal that the proposed approach offers a more tractable and higher quality (or competitive) solution in comparison with existing attention-based models, stochastic heuristic approach, and standard mixed-integer programming solver under the given experimental conditions. Finally, the different experimental evaluations reveal that the proposed data generation approach for training the model is highly effective.</t>
  </si>
  <si>
    <t>The research on complex networks has achieved significant progress in revealing the mesoscopic features of networks. Community detection is an important aspect of understanding real-world complex systems. We present in this paper a High-order node proximity Spectral Clustering on Ratios-of-Eigenvectors (SCOREH+) algorithm for locating communities in complex networks. The algorithm improves SCORE and SCORE+ and preserves high-order transitivity information of the network affinity matrix. We optimize the high-order proximity matrix from the initial affinity matrix using the Radial Basis Functions (RBFs) and Katz index. In addition to the optimization of the Laplacian matrix, we implement a procedure that joins an additional eigenvector (the (k+1)th leading eigenvector) to the spectrum domain for clustering if the network is considered to be a weak signal graph. The algorithm has been successfully applied to both real-world and synthetic data sets. The proposed algorithm is compared with state-of-art algorithms, such as ASE, Louvain, Fast-Greedy, Spectral Clustering (SC), SCORE, and SCORE+. To demonstrate the high efficacy of the proposed method, we conducted comparison experiments on eleven real-world networks and a number of synthetic networks with noise. The experimental results in most of these networks demonstrate that SCOREH+ outperforms the baseline methods. Moreover, by tuning the RBFs and their shaping parameters, we may generate state-of-the-art community structures on all real-world networks and even on noisy synthetic networks.</t>
  </si>
  <si>
    <t>Over the last two decades, scientists have introduced many ways to improve normal moveout velocity analysis by optimizing the resolution of the moveout velocity spectrum, a graph that displays a coherence value for every tested velocity traveltime pair. Almost all of these methods have failed to enhance resolution when faced with low-fold common-midpoint gathers, which might be caused by natural barriers or man-made obstacles. Another problem is that many approaches are derived from very simple model assumptions that quickly break down for complex structures and do not provide enough model flexibility for an iterative and interactive velocity analysis. In this paper, we present a new velocity analysis method based on the model-based common-diffraction-surface stack operator and apply it to two synthetic data sets, one with locally sparse common-midpoint coverage and one with a laterally variable complex geological structure. We generate velocity spectra by calculating the semblance along spatial operators obtained for all possible emergence angles and an entire range of velocity models. Comparing the resolution of such velocity spectra with those obtained with the classical normal moveout velocity analysis shows, in both two analysed cases, that the stacking velocity can be estimated much more precisely. The reasons for this are that the event dip is handled independently from the velocity and that the semblance is obtained, for each zero-offset sample, over a group of neighbouring common-midpoint gathers instead of just one.</t>
  </si>
  <si>
    <t>Diffusion magnetic resonance imaging (dMRI) is an essential technique for studying brain white matter. However, its application suffers from the tradeoff between resolution, signal-to-noise ratio (SNR), and scanning time. Under a given setting, post-acquisition super-resolution (SR) has displayed the exciting performance of increasing the spatial or angular resolution of dMRI without prolonging the acquisition time. dMRI is acquired from a heterogeneous space composed of the spatial domain (x-space) and the diffusion wave vector domain (q-space). We introduced a graph convolution neural network (GCNN) to fit the mapping from low-resolution (LR) dMRI to high-resolution (HR) counterpart by jointly considering x-space and q-space to make an effective learning in this non-Euclidean space to increase the spatial resolution. Real brain dMRI data were downloaded from the Human Connectome Project (HCP). Comparisons were made between different spaces, including x-space, q-space, and xq-space. The results indicated that the best performance was obtained when two spaces were considered jointly using GCNN. Compared with the traditional methods, our network fully used spatio-angular information to improve the quality of dMRI SR. Furthermore, some feature metrics, including fractional anisotropic mapping, fiber orientation distribution (FOD), and fiber tractography, were presented to support the improvement. The cross-phantom test on synthetic data generated by the Phantomas tool was performed to further evaluate our model. Extended experiments revealed that GCNN might serve as a new way of enhancing dMRI.</t>
  </si>
  <si>
    <t>Understanding causal relations is of utmost importance in hydrology and climate research for systems identification, prediction, and understanding systems behavior in a changing climate. Traditionally, researchers in hydrometeorology attempted to study causal questions by conducting controlled experiments using numerical models. This approach, however, in most cases of interest provides uncertain results because the models are approximate representation of the natural system. An alternative approach that has recently drawn significant attention in several fields is to infer causal relations from purely observational data. It possesses several traits to its utility particularly in hydrometeorology due to the rapid accumulation of in situ and remotely sensed data records. The first objective of this study is to present a brief description of four causal discovery methods (Granger causality, Transfer Entropy, graph-based algorithms, and Convergent Cross Mapping) with special emphasis on the assumptions on which they are built. Second, using synthetic data generated from a hydrological model, we assess their performance in retrieving causal information taking into account sensitivity to sample size and presence of noise. Last, we use causal analysis to examine and formulate hypotheses on causal drivers of evapotranspiration in a shrubland region during summer and winter seasons. An interpretation of the hypotheses based on canopy seasonal dynamics and evapotranspiration processes is presented. It is hoped that the results presented here can be useful in guiding researchers studying hydrometeorological systems as to which causal method is most appropriate to the characteristics of the system under study.</t>
  </si>
  <si>
    <t>Causal inference is widely used in clinical research, economic analysis, and other fields. As is the case with many statistical data, the findings of causal discovery (i.e., causal graph) might leak demographic information of participants. For example, a causal link between one genome and a rare disease can reveal the participation of a minority patient in genome-wide association studies. To date, differential privacy has served as the de facto foundation for guaranteeing the privacy of causal discovery algorithms. However, existing approaches to protecting causal discovery from privacy leakage rely heavily on private conditional independence tests, which generate a considerable amount of noise and are thus prone to inaccuracy. As a result of their limited accuracy and scalability, they are insufficient for non-trivial datasets (e.g., those with more than ten variables). In this paper, we advocate a novel focus on enforcing privacy for causal discovery algorithms based on functional causal models. First, we propose NoLeaks, a differentially private causal discovery algorithm, which manifests both high accuracy and efficiency compared with prior works. Second, we design a quasi-Newton numerical optimization algorithm for solving NoLeaks in a highly efficient way. Third, we evaluate NoLeaks using both public benchmarks and synthetic data. We observe that NoLeaks achieves comparable performance or even surpasses the state-of-the-art (non-private) approaches. We also find encouraging results that NoLeaks can smoothly scale to large datasets, on which existing works would fail. Through a case study and a downstream application, we observe encouraging results on the versatile usages of NoLeaks.</t>
  </si>
  <si>
    <t>Purpose: To enable a fast and automatic deep learning-based QSM reconstruction of tissues with diverse chemical shifts, relevant to most regions outside the brain. Methods: A UNET was trained to reconstruct susceptibility maps using synthetically generated, unwrapped, multi-echo phase data as input. The RMS error with respect to synthetic validation data was computed. The method was tested on two in vivo knee and two pelvis data sets. Comparisons were made to a conventional fat-water separation pipeline by applying a commonly used graph-cut algorithm, both without and with an extended mask for background field removal (FWS-CONV-QSM and FWS-MASK-CONV-QSM, respectively). Several regions of interest were segmented and compared. Furthermore, the approach was tested on a prostate cancer patient receiving low-dose-rate brachytherapy, to detect and localize the seeds by MRI. Results: The RMS error was 0.292 ppm with FWS-CONV-QSM and 0.123 ppm for the UNET approach. Susceptibility maps were reconstructed much faster (&lt; 10 s) and completely automatically (no background masking needed) by the UNET compared with the other applied techniques (5 min 51 s and 22 min 44 s for CONV-QSM and FWS-MASK-CONV-QSM, respectively. Background artifacts, fat-water swaps, and hypointense artifacts between I-125 seeds of a patient receiving low-dose brachytherapy in the prostate were largely reduced in the UNET approach. Conclusions: Deep learning-based QSM reconstruction, trained solely with synthetic data, is well-suited to rapidly reconstructing high-quality susceptibility maps in the presence of fat without needing masking for background field removal.</t>
  </si>
  <si>
    <t>We report synthesis of an open source test data set and work in progress to expand it. Sophisticated data mining and Machine Learning (ML) techniques can discover statistical associations among variables that may or may not reflect actual causal dependencies. In many applications, systems must discriminate between associations that are mere coincidences and those that are at least plausibly causal. Further, a graph of causal relationships may be complex, with fan-in, fan-out, transitive, and various combinations of, dependencies. To test a system's power to filter out non-causal associations and untangle the causal web, suitable synthetic data is needed. We report the development, in Wolfram Mathematica, of code that synthesizes data with subtle, complex, causal dependencies among some but not all of the generated observable variables. We implement several simple dissipative chaotic flows. Four (4) are autonomous, six (6) are driven. Among the resulting ten (10) observable state vectors, there are forty-five (45) potential pairwise (1:1) relationships, of which four (4) are strong, five (5) are moderate, three (3) are weak, for a total of twelve (12) that are actually causal, and any others are mere statistical artifacts that a tool under test should reject. Each system's observables are corrupted by additive Gaussian noise. Each system's hidden dynamics are disturbed by a normal Wiener process. The levels of these stochastic components are parameterized to make problem difficulty tunable. A set of generated data and code for generating more will be released openly on-line.</t>
  </si>
  <si>
    <t>Partitioning a given data-set into subsets based on similarity among the data is called clustering. Clustering is a major task in data mining and machine learning having many applications such as text retrieval, pattern recognition, and web mining. Here, we briefly review some clustering related problems (k-means, normalized k-cut, orthogonal non-negative matrix factorization, ONMF, and isoperimetry) and describe their connections. We formulate the relaxed mean version of the isoperimetry problem as an optimization problem with non-negative orthogonal constraints. We first make use of a gradient-based optimization algorithm to solve this kind of a problem, and then apply a post-processing technique to extract a solution of the clustering problem. Also, we propose a simplified approach to improve upon solution of the 2-dimensional clustering problem, using the N-nearest neighbor graph. Inspired by this technique, we apply a multilevel method for clustering a given data-set to reduce the size of the problem by grouping a number of similar vertices. The number is determined based on two values, namely, the maximum and the average of the edge weights of the vertices connected to a selected vertex. In addition, using the connections between ONMF and k-means and between k-means and the isoperimetry problem, we propose an algorithm to solve the ONMF problem. A comparative performance analysis of our approach with other related methods shows outperformance of our approach, in terms of the obtained misclassification error rate and Rand index, on both benchmark and randomly generated problems as well as hard synthetic data-sets.</t>
  </si>
  <si>
    <t>5G cellular networks come with many new features compared to the legacy cellular networks, such as network data analytics function (NWDAF), which enables the network operators to either implement their own machine learning (ML) based data analytics methodologies or integrate third-party solutions to their networks. In this paper, the structure and the protocols of NWDAF that are defined in the 3rd Generation Partnership Project (3GPP) standard documents are first described. Then, cell-based synthetic data set for 5G networks based on the fields defined by the 3GPP specifications is generated. Further, some anomalies are added to this data set (e.g., suddenly increasing traffic in a particular cell), and then these anomalies within each cell, subscriber category, and user equipment are classified. Afterward, three ML models, namely, linear regression, long-short term memory, and recursive neural networks are implemented to study behaviour information estimation (e.g., anomalies in the network traffic) and network load prediction capabilities of NWDAF. For the prediction of network load, three different models are used to minimize the mean absolute error, which is calculated by subtracting the actual generated data from the model prediction value. For the classification of anomalies, two ML models are used to increase the area under the receiver operating characteristics curve, namely, logistic regression and extreme gradient boosting. According to the simulation results, neural network algorithms outperform linear regression in network load prediction, whereas the tree-based gradient boosting algorithm outperforms logistic regression in anomaly detection. These estimations are expected to increase the performance of the 5G network through NWDAF.</t>
  </si>
  <si>
    <t>With the rise in usage of computer networks across the globe, large amounts of data are being generated which has raised the need for robust intrusion detection systems to monitor the network traffic. Organizations are leveraging the predictive power of machine learning and deep learning models to develop robust IDS which can alarm any illicit intrusion. However, the power of deep neural networks is often constrained by the availability of training data. In real-world scenarios where the acquisition of large training datasets is not possible, synthetic data generation is emerging as a promising alternative. Conditional GAN allows us to condition the network with additional information such as class labels and generate data resembling the input class. The limitation of this architecture is that it works with a single label and doesn't allow mixing of labels to create newer varieties of data. We propose Blender-GAN, a generative adversarial network, that takes multiple class labels and their respective proportions to generate a novel output that represents all input classes in the input proportions. Unlike traditional GANs two discriminators are used, one traditional Real/Fake classifier and another to control the class of generated data. During the new data generation phase, multiple classes are blended in defined proportions which creates new data with characteristics of the classes in the specified ratio. The proposed architecture was implemented for generating synthetic network intrusion data, using various proportions of different known attack classes. The Blender-GAN output generated new attack classes, which resembled realistic network data.</t>
  </si>
  <si>
    <t>Emergency Medical Services (EMS) responders often operate under time-sensitive conditions, facing cognitive overload and inherent risks, requiring essential skills in critical thinking and rapid decision-making. This paper presents CognitiveEMS, an end-to-end wearable cognitive assistant system that can act as a collaborative virtual partner engaging in the real-time acquisition and analysis of multimodal data from an emergency scene and interacting with EMS responders through Augmented Reality (AR) smart glasses. CognitiveEMS processes the continuous streams of data in real-time and leverages edge computing to provide assistance in EMS protocol selection and intervention recognition. We address key technical challenges in real-time cognitive assistance by introducing three novel components: (i) a Speech Recognition model that is fine-tuned for real-world medical emergency conversations using simulated EMS audio recordings, augmented with synthetic data generated by large language models (LLMs); (ii) an EMS Protocol Prediction model that combines state-of-the-art (SOTA) tiny language models with EMS domain knowledge using graph-based attention mechanisms; (iii) an EMS Action Recognition module which leverages multimodal audio and video data and protocol predictions to infer the intervention/treatment actions taken by the responders at the incident scene. Our results show that for speech recognition we achieve superior performance compared to SOTA (WER of 0.290 vs. 0.618) on conversational data. Our protocol prediction component also significantly outperforms SOTA (top-3 accuracy of 0.800 vs. 0.200) and the action recognition achieves an accuracy of 0.727, while maintaining an end-to-end latency of 3.78s for protocol prediction on the edge and 0.31s on the server.</t>
  </si>
  <si>
    <t>In supervised learning, the algorithm accuracy usually improves with the size of the labeled dataset used for training the classifier. However, in many real-life scenarios, obtaining enough labeled data is costly or even not possible. In many circumstances, Data Augmentation (DA) techniques are usually employed, generating more labeled data for training machine learning algorithms. The common DA techniques are applied to already labeled data, generating simple variations of this data. For example, for image classification, image samples are rotated, cropped, flipped or other operators to generate variations of input image samples, and keeping their original labels. Other options are using Neural Networks algorithms that create new synthetic data or to employ Semi-supervised Learning (SSL) that label existing unlabeled data. In this paper, we perform a comparison among graph-based semi-supervised learning (GSSL) algorithms to augment the labeled dataset. The main advantage of using GSSL is that we can increase the training set by adding nonannotated images to the training set, therefore, we can benefit from the huge amount of unlabeled data available. Experiments are performed on five datasets for recognition of handwritten digits and letters (MNIST and EMINIST), animals (Dogs vs Cats), clothes (MNIST-Fashion) and remote sensing images (Brazilian Coffee Scenes), in which we compare different possibilities for DA, including the GSSL, Generative Adversarial Networks (GANs) and traditional Image Transformations (IT) applied on input labeled data. We also evaluated the impact of such techniques on different convolutional neural networks (CNN). Results indicate that, although all DA techniques performed well, GSSL was more robust to different image properties, presenting less accuracy variation across datasets.</t>
  </si>
  <si>
    <t>Genomic Epidemiology (genEpi) is a branch of public health that uses many different data types including tabular, network, genomic, and geographic, to identify and contain outbreaks of deadly diseases. Due to the volume and variety of data, it is challenging for genEpi domain experts to conduct data reconnaissance; that is, have an overview of the data they have and make assessments toward its quality, completeness, and suitability. We present an algorithm for data reconnaissance through automatic visualization recommendation, GEViTRec. Our approach handles a broad variety of dataset types and automatically generates visually coherent combinations of charts, in contrast to existing systems that primarily focus on singleton visual encodings of tabular datasets. We automatically detect linkages across multiple input datasets by analyzing non-numeric attribute fields, creating a data source graph within which we analyze and rank paths. For each high-ranking path, we specify chart combinations with positional and color alignments between shared fields, using a gradual binding approach to transform initial partial specifications of singleton charts to complete specifications that are aligned and oriented consistently. A novel aspect of our approach is its combination of domain-agnostic elements with domain-specific information that is captured through a domain-specific visualization prevalence design space. Our implementation is applied to both synthetic data and real Ebola outbreak data. We compare GEViTRec's output to what previous visualization recommendation systems would generate, and to manually crafted visualizations used by practitioners. We conducted formative evaluations with ten genEpi experts to assess the relevance and interpretability of our results. Code, Data, and Study Materials Availability: https://github.com/amcrisan/GEVitRec.</t>
  </si>
  <si>
    <t>Rare or limited access to real-world data has widely been a stumbling block for the development and employment of design optimization and simulation models in water distribution systems (WDS). Primary reasons for such accessibility issues could include data unavailability and high security protocols. Synthetic data can play a major role as a reliable alternative to mimic and replicate real-world WDS for modeling purposes. This study puts forth a comprehensive approach to generate synthetic WDS infrastructural data by (1) employing graph-theory concepts to generate multitudinous WDS skeleton layouts through retaining the critical topological features of a given real WDS; and (2) assigning component sizes and operational features such as nodal demands, pump curves, pipe sizes, and tank elevations to the generated WDS skeleton layouts through a multiobjective genetic algorithm (GA)-based design optimization scheme. Thousands of such generated-optimized networks are statistically analyzed in terms of the fundamental WDS characteristics both collectively and granularly. An outstanding novelty in this study includes an automatedly integrated algorithmic function that attempts to (1) simultaneously optimize the generated network in a biobjective scheme, (2) rectify pipe intersections that violate pipeline embedding standards, and (3) correct the unusual triangular loops in the generator by honoring the conventional square-shaped loop connectivity in a WDS. The proposed modeling approach was demonstrated in this study using the popular Anytown water distribution benchmark system. Generation and optimization of such representative synthetic networks pave the way for extensive access to representative case-study models for academic and industrial purposes while the security of the real-world infrastructure data is not compromised.</t>
  </si>
  <si>
    <t>Given a network and a subset of interesting vertices whose identities are only partially known, the vertex nomination problem seeks to rank the remaining vertices in such a way that the interesting vertices are ranked at the top of the list. An important variant of this problem is vertex nomination in the multiple graphs setting. Given two graphs G(1), G(2) with common vertices and a vertex of interest x is an element of G(1), we wish to rank the vertices of G(2) such that the vertices most similar to x are ranked at the top of the list. The current article addresses this problem and proposes a method that first applies adjacency spectral graph embedding to embed the graphs into a common Euclidean space, and then solves a penalized linear assignment problem to obtain the nomination lists. Since the spectral embedding of the graphs are only unique up to orthogonal transformations, we present two approaches to eliminate this potential nonidentifiability. One approach is based on orthogonal Procrustes and is applicable when there are enough vertices with known correspondence between the two graphs. Another approach uses adaptive point set registration and is applicable when there are few or no vertices with known correspondence. We show that our nomination scheme leads to accurate nomination under a generative model for pairs of random graphs that are approximately low-rank and possibly with pairwise edge correlations. We illustrate our algorithm's performance through simulation studies on synthetic data as well as analysis of a high-school friendship network and analysis of transition rates between web pages on the Bing search engine. Supplementary materials for this article are available and include R code, data, and an appendix with detailed proofs.</t>
  </si>
  <si>
    <t>Many applications such as recommendation systems or sports tournaments involve pairwise comparisons within a collection of n items, the goal being to aggregate the binary outcomes of the comparisons in order to recover the latent strength and/or global ranking of the items. In recent years, this problem has received significant interest from a theoretical perspective with a number of methods being proposed, along with associated statistical guarantees under the assumption of a suitable generative model. While these results typically collect the pairwise comparisons as one comparison graph G, however in many applications - such as the outcomes of soccer matches during a tournament - the nature of pairwise outcomes can evolve with time. Theoretical results for such a dynamic setting are relatively limited compared to the aforementioned static setting. We study in this paper an extension of the classic BTL (Bradley-Terry-Luce) model for the static setting to our dynamic setup under the assumption that the probabilities of the pairwise outcomes evolve smoothly over the time domain [0, 1]. Given a sequence of comparison graphs (Gt,)t,is an element of T on a regular grid T subset of [0, 1], we aim at recovering the latent strengths of the items wt* is an element of Rn at any time t is an element of [0, 1]. To this end, we adapt the Rank Centrality method - a popular spectral approach for ranking in the static case - by locally averaging the available data on a suitable neighborhood of t. When (Gt,)t,is an element of T is a sequence of Erdo center dot s-Renyi graphs, we provide non-asymptotic 2 pound and too error bounds for estimating wt* which in particular establishes the consistency of this method in terms of n, and the grid size |T |. We also complement our theoretical analysis with experiments on real and synthetic data.</t>
  </si>
  <si>
    <t>Machine learning (ML) is widely being regarded as a powerful technology to solve various complex problems in fiber-optic communication networks. Recently, ML algorithms have been considered for a variety of use-cases in optical networks ranging from the design of network devices to the compensation of transmission impairments to predicting network-wide traffic flow patterns. As ML techniques are inherently data driven, the availability of relevant data sets largely dictates the performance of developed ML models. Presently, majority of ML-aided methods in the literature rely either on synthetic data from certain simulation tools or exploit data from some simple laboratory setups. However, developing robust ML-based solutions for real fiber-optic networks demands assembling big data from various parts as well as across different layers and domains of the network. Unfortunately, there is currently a lack of understanding among the research community about various crucial data aspects in practical optical networks as well as key challenges faced. While there has been a plethora of works discussing numerous ML applications in fiber-optic communications and networking, to the best of our knowledge, there is presently no paper which particularly focuses on data perspectives. In this paper, we aim to shed light on various critical data factors by first describing the tools and technologies imperative for adequate network monitoring and data acquisition. We also elucidate different data types, their physical sources, and their applications. Several useful data handling and pre-processing techniques for efficient network data collection, storage, presentation, analysis, etc., are discussed. Major challenges in the generation, transmission, and sharing of the data are highlighted and some potential solutions to the outstanding problems are proposed, thus paving the way for seamless availability of pertinent data sets essential for realizing intelligent data-driven operations in future fiber-optic networks.</t>
  </si>
  <si>
    <t>Personalized recommender systems are pervasive in different domains, ranging from e-commerce services, financial transaction systems to social networks. The generated ratings and reviews by users toward products are not only favourable to make targeted improvements on the products for online businesses, but also beneficial for other users to get a more insightful review of the products. In reality, recommender systems can also be deliberately manipulated by malicious users due to their fundamental vulnerabilities and openness. However, improving the detection performance for defending malicious threats including profile injection attacks and co-visitation injection attacks is constrained by the challenging issues: (1) various types of malicious attacks in real-world data coexist; (2) it is difficult to balance the commonality and speciality of rating behaviors in terms of accurate detection; and (3) rating behaviors between attackers and anchor users caused by the consistency of attack intentions are extremely similar. In this article, we develop a unified detection approach named IMIA-HCRF, to progressively discriminate malicious injection behaviors for recommender systems. First, disturbed data are empirically eliminated by implementing both the construction of association graph and enhancement of dense behaviors, which can be adapted to different attacks. Then, the smooth boundary of dense rating (or co-visitation) behaviors is further segmented using higher order potentials, which is finally leveraged to determine the concerned injection behaviors. Extensive experiments on both synthetic data and real-world data demonstrate that the proposed IMIA-HCRF outperforms all baselines on various metrics. The detection performance of IMIA-HCRF can achieve an improvement of 7.8% for mixed profile injection attacks as well as 6% for mixed co-visitation injection attacks over the baselines in terms of FAR (false alarm rate) while keeping the highest DR (detection rate). Additional experiments on real-world data show that IMIA-HCRF brings an improvement with the advantage of 11.5% FAR in average compared with the baselines.</t>
  </si>
  <si>
    <t>PurposeAutism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diagnosis.MethodsA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genes.ResultsThe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accuracy.ConclusionThe proposed Stacking-SMOTE model demonstrates that SMOTE is effective in handling the autism imbalanced data. Sequentially, the integration between the gradient boosting and random forest classifier (GBBRF) support to build a robust stacking ensemble model(Stacking-SMOTE).</t>
  </si>
  <si>
    <t>During the 3 month long eruption of Kilauea volcano, Hawaii in 2018, the pre-existing summit caldera collapsed in over 60 quasi-periodic failure events. The last 40 of these events, which generated Mw &gt; 5 very long period (VLP) earthquakes, had inter-event times between 0.8 and 2.2 days. These failure events offer a unique data set for testing methods for predicting earthquake recurrence based on locally recorded GPS, tilt, and seismicity data. In this work, we train a deep learning graph neural network (GNN) to predict the time-to-failure of the caldera collapse events using only a fraction of the data recorded at the start of each cycle. We find that the GNN generalizes to unseen data and can predict the time-to-failure to within a few hours using only 0.5 days of data, substantially improving upon a null model based only on inter-event statistics. Predictions improve with increasing input data length, and are most accurate when using high-SNR tilt-meter data. Applying the trained GNN to synthetic data with different magma-chamber pressure decay times predicts failure at a nearly constant stress threshold, revealing that the GNN is sensing the underling physics of caldera collapse. These findings demonstrate the predictability of caldera collapse sequences under well monitored conditions, and highlight the potential of machine learning methods for forecasting real world catastrophic events with limited training data. Plain Language Summary During the summer of 2018, Kilauea volcano, Hawaii, experienced a dramatic series of large earthquakes, coinciding with the collapse of the summit caldera in a series of repeated failure events. These collapse events occurred periodically, with inter-event timings between 0.8 and 2.2 days. Because of the significance of this event, there is interest to understand more about the dynamics of this collapse sequence. We study whether observational measurements of deformation recorded on the surface of the volcano carry signatures that indicate the timing of the upcoming collapse events. By using machine learning, we train a series of models that aim to predict the time-to-failure of each cycle based on the observed deformation data, and we experiment with using different combinations of input data sets. We find our models can accurately predict the timing of most collapse events to within a few hours, including for events that the models were never trained on and that have longer durations than the training events. These results shed new light on the dynamics and predictability of the Kilauea caldera collapse sequence.</t>
  </si>
  <si>
    <t>E. Offord; J. Lutton; T. Bretschneider</t>
  </si>
  <si>
    <t>H. Yu; S. Wu; J. Dauwels</t>
  </si>
  <si>
    <t>F. Xu; L. Chaudhary; L. Dong; S. Setlur; V. Govindaraju; I. Nwogu</t>
  </si>
  <si>
    <t>Kirkley A.</t>
  </si>
  <si>
    <t>Souid H.E.; Ody L.; Achenchabe Y.; Lemaire V.; Aversano G.; Skhiri S.</t>
  </si>
  <si>
    <t>Schulz N.A.; Carus J.; Wiederhold A.J.; Johanns O.; Peters F.; Rath N.; Rausch K.; Holleczek B.; Katalinic A.; Nennecke A.; Kusche H.; Heinrichs V.; Eberle A.; Luttmann S.; Abnaof K.; Kim-Wanner S.-Z.; Handels H.; Germer S.; Halber M.; Richter M.; Pinnau M.; Reiner D.; Schaaf J.; Storf H.; Hartz T.; Goeken N.; Bösche J.; Stein A.; Weitmann K.; Hoffmann W.; Labohm L.; Rudolph C.; Gundler C.; Ückert F.</t>
  </si>
  <si>
    <t>Sivaroopan N.; Bandara D.; Madarasingha C.; Jourjon G.; Jayasumana A.P.; Thilakarathna K.</t>
  </si>
  <si>
    <t>Crocker R.; Robson B.J.; Ani C.; Anthony K.; Iwanaga T.</t>
  </si>
  <si>
    <t>Xu F.; Chaudhary L.; Dong L.; Setlur S.; Govindaraju V.; Nwogu I.</t>
  </si>
  <si>
    <t>Offord E.; Lutton J.; Bretschneider T.</t>
  </si>
  <si>
    <t>Pavlyuk D.; Perevozcikova J.</t>
  </si>
  <si>
    <t>Li A.; Yang Y.; Cui H.; Yang C.</t>
  </si>
  <si>
    <t>Bergami G.</t>
  </si>
  <si>
    <t>Li H.; Yu S.; Principe J.</t>
  </si>
  <si>
    <t>Seol S.; Kim B.</t>
  </si>
  <si>
    <t>Quan T.P.; Lacey B.; Peto T.E.A.; Walker A.S.</t>
  </si>
  <si>
    <t>Phuong Quan T.; Lacey B.; Peto T.E.A.; Sarah Walker A.</t>
  </si>
  <si>
    <t>Yu H.; Wu S.; Dauwels J.</t>
  </si>
  <si>
    <t>Bellomo M.; Trimarchi S.; Niccolai A.; Lorenzo M.; Casamatta F.; Grimaccia F.</t>
  </si>
  <si>
    <t>Marwah M.; Arlitt M.</t>
  </si>
  <si>
    <t>Lin G.; Lin A.</t>
  </si>
  <si>
    <t>Barros de Souza D.; Figueirôa dos Santos E.; Santos F.A.N.</t>
  </si>
  <si>
    <t>Clarkson J.; Cucuringu M.; Elliott A.; Reinert G.</t>
  </si>
  <si>
    <t>Zhu K.; Zhang S.; Li J.; Zhou D.; Dai H.; Hu Z.</t>
  </si>
  <si>
    <t>Li Q.; Mo H.; Zhao J.; Hao H.; Li H.</t>
  </si>
  <si>
    <t>Naveed M.H.; Hashmi U.S.; Tajved N.; Sultan N.; Imran A.</t>
  </si>
  <si>
    <t>Jiang M.; Hooper A.; Tian X.; Xu J.; Chen S.-N.; Ma Z.-F.; Cheng X.</t>
  </si>
  <si>
    <t>Chen Y.; Yu X.; Koudas N.; Yu Z.</t>
  </si>
  <si>
    <t>Scopus_13</t>
  </si>
  <si>
    <t>Scopus_26</t>
  </si>
  <si>
    <t>Scopus_29</t>
  </si>
  <si>
    <t>Scopus_32</t>
  </si>
  <si>
    <t>Scopus_102</t>
  </si>
  <si>
    <t>Scopus_114</t>
  </si>
  <si>
    <t>Scopus_116</t>
  </si>
  <si>
    <t>Scopus_124</t>
  </si>
  <si>
    <t>Scopus_132</t>
  </si>
  <si>
    <t>Scopus_134</t>
  </si>
  <si>
    <t>Scopus_135</t>
  </si>
  <si>
    <t>Scopus_150</t>
  </si>
  <si>
    <t>Scopus_151</t>
  </si>
  <si>
    <t>Scopus_156</t>
  </si>
  <si>
    <t>Scopus_168</t>
  </si>
  <si>
    <t>Scopus_172</t>
  </si>
  <si>
    <t>Scopus_174</t>
  </si>
  <si>
    <t>Scopus_177</t>
  </si>
  <si>
    <t>Scopus_178</t>
  </si>
  <si>
    <t>Scopus_179</t>
  </si>
  <si>
    <t>Scopus_182</t>
  </si>
  <si>
    <t>Scopus_191</t>
  </si>
  <si>
    <t>Scopus_199</t>
  </si>
  <si>
    <t>Scopus_200</t>
  </si>
  <si>
    <t>Scopus_217</t>
  </si>
  <si>
    <t>Scopus_230</t>
  </si>
  <si>
    <t>Scopus_246</t>
  </si>
  <si>
    <t>Scopus_253</t>
  </si>
  <si>
    <t>Scopus_261</t>
  </si>
  <si>
    <t>Scopus_265</t>
  </si>
  <si>
    <t>Scopus_269</t>
  </si>
  <si>
    <t>Scopus_271</t>
  </si>
  <si>
    <t>http://dx.doi.org/10.1021/acsomega.2c04649</t>
  </si>
  <si>
    <t>WoS_33</t>
  </si>
  <si>
    <t>http://dx.doi.org/10.1007/978-3-031-44992-5_7</t>
  </si>
  <si>
    <t>http://dx.doi.org/10.1007/978-3-031-44521-7_5</t>
  </si>
  <si>
    <t>http://dx.doi.org/10.1109/TBDATA.2023.3346715</t>
  </si>
  <si>
    <t>http://dx.doi.org/10.1002/mrm.29265</t>
  </si>
  <si>
    <t>http://dx.doi.org/10.1029/2024JB029471</t>
  </si>
  <si>
    <t>Zheng K.; Yu S.; Chen B.</t>
  </si>
  <si>
    <t>https://www.scopus.com/inward/record.uri?eid=2-s2.0-85184033606&amp;doi=10.1016%2fj.neunet.2024.106147&amp;partnerID=40&amp;md5=0fa2da5a600e8e3dd481da288353db57</t>
  </si>
  <si>
    <t>There is a recent trend to leverage the power of graph neural networks (GNNs) for brain-network based psychiatric diagnosis, which, in turn, also motivates an urgent need for psychiatrists to fully understand the decision behavior of the used GNNs. However, most of the existing GNN explainers are either post-hoc in which another interpretive model needs to be created to explain a well-trained GNN, or do not consider the causal relationship between the extracted explanation and the decision, such that the explanation itself contains spurious correlations and suffers from weak faithfulness. In this work, we propose a granger causality-inspired graph neural network (CI-GNN), a built-in interpretable model that is able to identify the most influential subgraph (i.e., functional connectivity within brain regions) that is causally related to the decision (e.g., major depressive disorder patients or healthy controls), without the training of an auxillary interpretive network. CI-GNN learns disentangled subgraph-level representations α and β that encode, respectively, the causal and non-causal aspects of original graph under a graph variational autoencoder framework, regularized by a conditional mutual information (CMI) constraint. We theoretically justify the validity of the CMI regulation in capturing the causal relationship. We also empirically evaluate the performance of CI-GNN against three baseline GNNs and four state-of-the-art GNN explainers on synthetic data and three large-scale brain disease datasets. We observe that CI-GNN achieves the best performance in a wide range of metrics and provides more reliable and concise explanations which have clinical evidence. The source code and implementation details of CI-GNN are freely available at GitHub repository (https://github.com/ZKZ-Brain/CI-GNN/). © 2024 Elsevier Ltd</t>
  </si>
  <si>
    <t>Brain network; Causal generation; Explainability of GNN; Graph Neural Network (GNN); Psychiatric diagnosis</t>
  </si>
  <si>
    <t>Chaibub Neto E.</t>
  </si>
  <si>
    <t>https://www.scopus.com/inward/record.uri?eid=2-s2.0-85190176415&amp;doi=10.1109%2fTNNLS.2022.3202151&amp;partnerID=40&amp;md5=d2ec7f20cab5839f73706b256cac5d65</t>
  </si>
  <si>
    <t>We propose a counterfactual approach to train 'causality-aware' predictive models that are able to leverage causal information in static anticausal machine learning tasks (i.e., prediction tasks where the outcome influences the inputs). In applications plagued by confounding, the approach can be used to generate predictions that are free from the influence of observed confounders. In applications involving observed mediators, the approach can be used to generate predictions that only capture the direct or the indirect causal influences. Mechanistically, we train supervised learners on (counterfactually) simulated inputs that retain only the associations generated by the causal relations of interest. We focus on linear models, where analytical results connecting covariances, causal effects, and prediction mean square errors are readily available. Quite importantly, we show that our approach does not require knowledge of the full causal graph. It suffices to know which variables represent potential confounders and/or mediators. We investigate the stability of the method with respect to dataset shifts generated by selection biases and also relax the linearity assumption by extending the approach to additive models better able to account for nonlinearities in the data. We validate our approach in a series of synthetic data experiments and illustrate its application to a real dataset.  © 2012 IEEE.</t>
  </si>
  <si>
    <t>Anticausal prediction task; causality; dataset shifts; out-of-distribution generalization; regression</t>
  </si>
  <si>
    <t>Proceedings of the 27th International Conference on Artificial Intelligence and Statistics, AISTATS 2024</t>
  </si>
  <si>
    <t>https://www.scopus.com/inward/record.uri?eid=2-s2.0-85194152805&amp;partnerID=40&amp;md5=2215e45e74d6a7d04a1f916e7de8851e</t>
  </si>
  <si>
    <t>The proceedings contain 547 papers. The topics discussed include: enhancing in-context learning via linear probe calibration; on the Nyström approximation for preconditioning in kernel machines; imposing fairness constraints in synthetic data generation; the Galerkin method beats graph-based approaches for spectral algorithms; multitask online learning: listen to the neighborhood buzz; looping in the human: collaborative and explainable Bayesian optimization; adaptive batch sizes for active learning: a probabilistic numerics approach; stochastic approximation with delayed updates: finite-time rates under Markovian sampling; sharp error bounds for imbalanced classification: how many examples in the minority class?; multi-agent bandit learning through heterogeneous action erasure channels; agnostic multi-robust learning using ERM; and unsupervised novelty detection in pretrained representation space with locally adapted likelihood ratio.</t>
  </si>
  <si>
    <t>Zhou J.; Luo X.; Nie F.; He X.</t>
  </si>
  <si>
    <t>https://www.scopus.com/inward/record.uri?eid=2-s2.0-85201494248&amp;doi=10.1016%2fj.neucom.2024.128367&amp;partnerID=40&amp;md5=f5c469d5e2e8f4ec399f25f2d4823717</t>
  </si>
  <si>
    <t>The expensive time consumption and hyper-parameters are two main drawbacks of most existing multi-view graph clustering methods. Especially in large-scale data clustering, these two defects are more serious. Aiming at these two problems, we propose a novel auto-weighted multi-view clustering method based on the hierarchical bipartite graph to effectively address these two limitations. Similar to the idea of an anchor graph, firstly, the bisecting k-means method is used instead of traditional method to generate a hierarchical anchor points set. And then, the hierarchical bipartite graph can be constructed between the original points and the anchor points of last layer. Since we only consider the anchor points on the last layer rather than using a larger number of anchors to obtain the bipartite graph, our proposed method will greatly reduce the time consumption. Moreover, the automatic learning strategy was adopted to select the appropriate weights for each view in our proposed approach, which remove the weight-related hyper-parameters and effectively avoid the vexing problem of hyper-parameters in multi-view graph clustering. Finally, experiments were carried out on synthetic data and different sizes benchmark data respectively to verify the validity of our method. © 2024</t>
  </si>
  <si>
    <t>Anchor-based strategy; Bisecting k-means; Hierarchical bipartite graph; Multi-view clustering</t>
  </si>
  <si>
    <t>Mostofi F.; Behzat Tokdemir O.; Toğan V.</t>
  </si>
  <si>
    <t>https://www.scopus.com/inward/record.uri?eid=2-s2.0-85193836048&amp;doi=10.1016%2fj.aei.2024.102606&amp;partnerID=40&amp;md5=946329ddc5c7d7c153a174345d2b115d</t>
  </si>
  <si>
    <t>The predictive performance of machine learning (ML) models is challenged when trained on class imbalance real-world construction datasets, reducing the accuracy of relevant decisions. In construction projects, the collection of a balanced dataset is not always feasible. Here, the integration of generative and prediction models holds potential, synthesizing the underrepresented class and configuring a balanced input dataset. This study improves the performance of construction prediction models through the integration of a generative model that augments the dataset for the underrepresented class. For this, a variational autoencoder (VAE) was integrated into a multi-head graph attention network (GAT), whereby a comprehensive construction productivity dataset was collected across different projects related to different construction activities, each with a particular structure and level of class imbalance. Balancing the class distribution led to a significant increase in the predictive performance of the GAT model, where accuracy jumped from 90.6 % to 92.5 %, 81.1 % to 94.4 %, and 92.2 % to 95.4 % when trained on finishing, concrete, and insulation activity networks, respectively. © 2024 Elsevier Ltd</t>
  </si>
  <si>
    <t>Class imbalance; Construction productivity prediction; Data augmentation; Generative model; Graph attention network (GAT); Machine learning (ML); Variational autoencoder (VAE)</t>
  </si>
  <si>
    <t>Jiang K.; Cao T.; Zhu L.; Sun Q.</t>
  </si>
  <si>
    <t>https://www.scopus.com/inward/record.uri?eid=2-s2.0-85202975350&amp;doi=10.1007%2fs10489-024-05760-z&amp;partnerID=40&amp;md5=c59081ab8de9268d76c8f21cc31d5673</t>
  </si>
  <si>
    <t>Unsupervised feature selection (UFS) is a fundamental and indispensable dimension reduction method for large amount of high-dimensional unlabeled data samples. Without label information, the manifold learning technique is leveraged to compensate for the lack of discrimination with the selected features. However, it is still a challenging problem to capture the geometrical structure for practical data, which are often contaminated by noises and outliers. Additionally, the predetermined graph embedded UFS models suffer from the parameter tuning problem and the separated model optimization procedures. To generate more compact and discriminative feature subsets, we propose a Robust UFS model with Adaptive and Flexible ℓ1-norm Graph (RAFG) embedding. Specifically, the ℓ2,1-norm is imposed on the flexible regression term to alleviate the adverse effects of both noisy features and outliers, and ℓ2,p-norm regularization term is incorporated to ensure that the selected transformation matrix is sufficiently sparse. Moreover, the adaptive ℓ1-norm graph learning characterize the clustering distribution via consistent embeddings, which avoids time-consuming distance computations in a high-dimensional feature space. To solve the challenging problem, we propose an efficient alternative updating algorithm with an iterative reweighted strategy, together with the necessary convergence and complexity analyses. Finally, experimental results on two synthetic data and eight benchmark datasets illustrate the effectiveness and superiority of the proposed RAFG method compared with state-of-the-art methods. © The Author(s), under exclusive licence to Springer Science+Business Media, LLC, part of Springer Nature 2024.</t>
  </si>
  <si>
    <t>Adaptive ℓ&lt;sub&gt;1&lt;/sub&gt;-norm graph; Clustering performance; Flexible embedding; Unsupervised feature selection; ℓ&lt;sub&gt;2,p&lt;/sub&gt;-norm sparsity</t>
  </si>
  <si>
    <t>Nguyen T.T.; Ren Z.; Nguyen T.T.; Jo J.; Nguyen Q.V.H.; Yin H.</t>
  </si>
  <si>
    <t>https://www.scopus.com/inward/record.uri?eid=2-s2.0-85181146432&amp;doi=10.1016%2fj.knosys.2023.111310&amp;partnerID=40&amp;md5=5203dcfec7138b941f7f3589f7890389</t>
  </si>
  <si>
    <t>The propagation of rumours on social media poses an important threat to societies, so that various techniques for graph-based rumour detection have been proposed recently. Existing works, however, are based on homophilic graphs: entities that are connected to each other often have the same label. However, recent studies found that heterophily is more common in real-world social networks, i.e., entities with different labels are also often linked to each other due to ‘innocent’ retweets or camouflage behaviours by malicious users. Especially, the heterophily problem is even more challenging in multi-modal social graphs, in which neighbouring entities might differ in terms of both labels and modalities. To cope with multi-modal homophily in graph-based rumour detection, we propose a Portable Graph Transformer-based Rumour Detection model (PHAROS) with novel multi-modal homophily measures. It integrates label information in the learning process, which enables us to generate discriminative neighbourhoods of entities. Our model can handle multiple modalities (a natural characteristic of social graphs) and is portable to be combined with existing graph-based models. Extensive experiments on real and synthetic data show the superiority, efficiency, robustness, and portability of PHAROS and its heterophily resilience. © 2023</t>
  </si>
  <si>
    <t>Graph-based rumour detection; Multi-modal heterophily; Portable neighbourhood aggregation</t>
  </si>
  <si>
    <t>50th International Conference on Very Large Data Bases, VLDB 2024</t>
  </si>
  <si>
    <t>https://www.scopus.com/inward/record.uri?eid=2-s2.0-85199144305&amp;partnerID=40&amp;md5=c4e9f5c46bb3190b5f0f83d3fe0d809b</t>
  </si>
  <si>
    <t>The proceedings contain 7 papers. The special focus in this conference is on Very Large Data Bases. The topics include: ZIP: Lazy Imputation during Query Processing; FedGTA: Topology-aware Averaging for Federated Graph Learning; host Profit Maximization: Leveraging Performance Incentives and User Flexibility; DP-PQD: Privately Detecting Per-Query Gaps In Synthetic Data Generated By Black-Box Mechanisms.</t>
  </si>
  <si>
    <t>Skocaj M.; Amorosa L.M.; Lombardi M.; Verdone R.</t>
  </si>
  <si>
    <t>GUMBLE: Uncertainty-aware Conditional Mobile Data Generation using Bayesian Learning</t>
  </si>
  <si>
    <t>https://www.scopus.com/inward/record.uri?eid=2-s2.0-85200821877&amp;doi=10.1109%2fTMC.2024.3438208&amp;partnerID=40&amp;md5=69ccdd441532b852f7adff3ddf405e75</t>
  </si>
  <si>
    <t>In the context of mobile and Internet of Things (IoT) networks, data naturally originates at the edge, making crowdsourcing a convenient and inherent approach to data collection. However, crowdsourcing presents challenges related to privacy, sampling bias, statistical sufficiency, and the need for time-consuming post-processing. To this end, generating synthetic data using deep learning techniques emerges as a promising solution to overcome such limitations. In this study, we propose an innovative framework that transcends applications and data types, enabling the conditional generation of crowdsourced datasets with location information in mobile and IoT networks. A crucial aspect of our methodology lies in the ability to assess uncertainty in newly generated samples and produce calibrated predictions through approximate Bayesian methods. Without loss of generality, we ascertain the validity of our method on the task of minimization of drive test (MDT) data generation, presenting for the first time a comparison of synthetically generated data with an original large-scale MDT set collected from a mobile network operator&amp;#x0027;s network infrastructure. By offering a versatile solution to data generation, our framework contributes to overcoming challenges associated with crowdsourced data, opening up possibilities for advanced analytics and experimentation in mobile and IoT networks IEEE</t>
  </si>
  <si>
    <t>Bayes methods; Bayesian Learning; Crowdsourcing; Crowdsourcing; Data collection; Generative Artificial Intelligence; Internet of Things; Minimization of Drive Test Data; Mobile computing; Mobile Networks; Synthetic data; Task analysis; Uncertainty</t>
  </si>
  <si>
    <t>https://www.scopus.com/inward/record.uri?eid=2-s2.0-85190639853&amp;partnerID=40&amp;md5=73ab88abc7a869e45cfd51a2d802575a</t>
  </si>
  <si>
    <t>Madhubalan A.; Gautam A.; Tiwary P.</t>
  </si>
  <si>
    <t>Blender-GAN: Multi-Target Conditional Generative Adversarial Network for Novel Class Synthetic Data Generation</t>
  </si>
  <si>
    <t>https://www.scopus.com/inward/record.uri?eid=2-s2.0-85198905854&amp;doi=10.1109%2fSmartNets61466.2024.10577645&amp;partnerID=40&amp;md5=2f9bc801f54a6d6f2e252a9c9a5942c3</t>
  </si>
  <si>
    <t>With the rise in usage of computer networks across the globe, large amounts of data are being generated which has raised the need for robust intrusion detection systems to monitor the network traffic. Organizations are leveraging the predictive power of machine learning and deep learning models to develop robust IDS which can alarm any illicit intrusion. However, the power of deep neural networks is often constrained by the availability of training data. In real-world scenarios where the acquisition of large training datasets is not possible, synthetic data generation is emerging as a promising alternative. Conditional GAN allows us to condition the network with additional information such as class labels and generate data resembling the input class. The limitation of this architecture is that it works with a single label and doesn't allow mixing of labels to create newer varieties of data. We propose Blender-GAN, a generative adversarial network, that takes multiple class labels and their respective proportions to generate a novel output that represents all input classes in the input proportions. Unlike traditional GANs two discriminators are used, one traditional Real/Fake classifier and another to control the class of generated data. During the new data generation phase, multiple classes are blended in defined proportions which creates new data with characteristics of the classes in the specified ratio. The proposed architecture was implemented for generating synthetic network intrusion data, using various proportions of different known attack classes. The Blender-GAN output generated new attack classes, which resembled realistic network data. © 2024 IEEE.</t>
  </si>
  <si>
    <t>CIC-IDS 2017; GAN; Generative model; Intrusion Detection; Latent mixing; Malware; MNIST; NSL KDD; Synthetic data; UNSW NB 15; Variational Auto Encoder</t>
  </si>
  <si>
    <t>Lu P.; Deng T.; Zhang H.; Jin Y.; Liu F.; Mao T.; Liu L.</t>
  </si>
  <si>
    <t>Ontology-Mediated Query Answering Using Graph Patterns with Conditions</t>
  </si>
  <si>
    <t>https://www.scopus.com/inward/record.uri?eid=2-s2.0-85200519175&amp;doi=10.1109%2fICDE60146.2024.00036&amp;partnerID=40&amp;md5=7dd2691e0f2534d31c72a668bce3226e</t>
  </si>
  <si>
    <t>This paper proposes an extension of graph patterns, referred to as ontological graph patterns (OGPs), to accelerate ontology-mediated query answering. OGPs employ graph patterns to support topological queries, attach conditions to both vertices and edges to specify additional restrictions, and support conditional partial matching semantics. Hence, OG Ps can express conjunctive queries (CQs) under ontological constraints. We develop a PTIME algorithm to generate an equivalent OGP from a CQ over the ontology specified by description logic DL-LiteR, and design a matching algorithm to match OGPs in graphs. Using real-life and synthetic data, we experimentally verify that the proposed approach outperforms the state-of-the-art algorithms for ontology-mediated query answering by 2-3 orders of magnitude.  © 2024 IEEE.</t>
  </si>
  <si>
    <t>Graph pattern matching; Ontology-mediated query answering; Ontologyical graph pattern; query processing; Query rewriting</t>
  </si>
  <si>
    <t>Wolf M.; Tritscher J.; Landes D.; Hotho A.; Schlör D.</t>
  </si>
  <si>
    <t>Benchmarking of synthetic network data: Reviewing challenges and approaches</t>
  </si>
  <si>
    <t>https://www.scopus.com/inward/record.uri?eid=2-s2.0-85199456235&amp;doi=10.1016%2fj.cose.2024.103993&amp;partnerID=40&amp;md5=12e63c189021f197a1b8d57dc048b2ee</t>
  </si>
  <si>
    <t>Benchmark; Evaluation; GAN; Generator; GPT; NetFlow; Synthetic data</t>
  </si>
  <si>
    <t>27th International Conference on Text, Speech, and Dialogue, TSD 2024</t>
  </si>
  <si>
    <t>https://www.scopus.com/inward/record.uri?eid=2-s2.0-85203580874&amp;partnerID=40&amp;md5=2b15e97c0db88200d96e91fd67cdccc0</t>
  </si>
  <si>
    <t>The proceedings contain 50 papers. The special focus in this conference is on Text, Speech, and Dialogue. The topics include: Bilingual Lexicon Induction From Comparable and Parallel Data: A Comparative Analysis; explaining Metaphors in the French Language by Solving Analogies Using a Knowledge Graph; the Aranea Corpora Family: Ten+ Years of Processing Web-Crawled Data; continual Learning Under Language Shift; neural Spell-Checker: Beyond Words with Synthetic Data Generation; coastTerm: A Corpus for Multidisciplinary Term Extraction in Coastal Scientific Literature; new Human-Annotated Dataset of Czech Health Records for Training Medical Concept Recognition Models; Analyzing Biases in Popular Answer Selection Datasets on Neural-Based QA Models; using Neural Coherence Models to Assess Discourse Coherence; named Entity Linking in English-Czech Parallel Corpus; tamSiPara: A Tamil – Sinhala Parallel Corpus; automatic Ellipsis Reconstruction in Coordinated German Sentences Based on Text-to-Text Transfer Transformers; better Low-Resource Machine Translation with Smaller Vocabularies; bella Turca: A Large-Scale Dataset of Diverse Text Sources for Turkish Language Modeling; Evaluation Metrics in LLM Code Generation; kernel Least Squares Transformations for Cross-Lingual Semantic Spaces; unsupervised Extraction of Morphological Categories for Morphemes; Introducing LCC’s NavProc 1.0 Corpus: Annotated Procedural Texts in the Naval Domain; models and Strategies for Russian Word Sense Disambiguation: A Comparative Analysis; open-Source Web Service with Morphological Dictionary–Supplemented Deep Learning for Morphosyntactic Analysis of Czech; mistrík’s Readability Metric – an Online Library.</t>
  </si>
  <si>
    <t>Cinaglia P.</t>
  </si>
  <si>
    <t>GIN: A web-application for constructing synthetic datasets of interconnected networks in bioinformatics</t>
  </si>
  <si>
    <t>https://www.scopus.com/inward/record.uri?eid=2-s2.0-85184487216&amp;doi=10.1016%2fj.softx.2024.101647&amp;partnerID=40&amp;md5=03397a6742de89fc4631b01c8684821f</t>
  </si>
  <si>
    <t>Networks are crucial in structuring biological systems in terms of interactions, to investigate the related properties and dynamics. Network analysis plays a relevant role in knowledge extraction from complex biological data, where biological objects and their own interactions (or relationships) can be modelled as nodes and edges, respectively. In this context, data is crucial in testing and evaluating process, for designing effective methods and software tools. For instance, network alignment requires many samples to evaluate the performance in node mappings, as well as in contexts where the aim is to reconstruct a missing or perturbed topology. It is common in scientific literature to report a lack of datasets related to interconnected biological networks. Usually, a research group has to design its own dataset for testing a novel method or software tool. This work addressed this issue, presenting a web-based Generator of synthetic Interconnected Networks (GIN). Our contribution has the primary aim of supporting the provision of synthetic data, via a user-friendly and effective tool. GIN allows for the generation of ad-hoc datasets that are particularly suitable for bioinformatics applications. Furthermore, the possibility of defining the network generation parameters allows a scientist to model (ad-hoc) interconnected networks for reproducing the topological and dynamical properties of a real biological network of interest. © 2024 The Author</t>
  </si>
  <si>
    <t>Bioinformatics; Interconnected networks; Network graph; Synthetic dataset</t>
  </si>
  <si>
    <t>Zhang M.; Zhang X.; Dai M.; Wu L.; Liu K.; Wang H.; Chen W.; Liu M.; Hu Y.</t>
  </si>
  <si>
    <t>Development and validation of a Multi-Causal investigation and discovery framework for knowledge harmonization (MINDMerge): A case study with acute kidney injury risk factor discovery using electronic medical records</t>
  </si>
  <si>
    <t>https://www.scopus.com/inward/record.uri?eid=2-s2.0-85200816415&amp;doi=10.1016%2fj.ijmedinf.2024.105588&amp;partnerID=40&amp;md5=1dd596c1970cc7f7ed41daf77ea3ba37</t>
  </si>
  <si>
    <t>Objective: Accurate diagnoses and personalized treatments in medicine rely on identifying causality. However, existing causal discovery algorithms often yield inconsistent results due to distinct learning mechanisms. To address this challenge, we introduce MINDMerge, a multi-causal investigation and discovery framework designed to synthesize causal graphs from various algorithms. Methods: MINDMerge integrates five causal models to reconcile inconsistencies arising from different algorithms. Employing credibility weighting and a novel cycle-breaking mechanism in causal networks, we initially developed and tested MINDMerge using three synthetic networks. Subsequently, we validated its effectiveness in discovering risk factors and predicting acute kidney injury (AKI) using two electronic medical records (EMR) datasets, eICU Collaborative Research Database and MIMIC-III Database. Causal reasoning was employed to analyze the relationships between risk factors and AKI. The identified causal risk factors of AKI were used in building a prediction model, and the prediction model was evaluated using the area under the receiver operating characteristics curve (AUC) and recall. Results: Synthetic data experiments demonstrated that our model outperformed significantly in capturing ground-truth network structure compared to other causal models. Application of MINDMerge on real-world data revealed direct connections of pulmonary disease, hypertension, diabetes, x-ray assessment, and BUN with AKI. With the identified variables, AKI risk can be inferred at the individual level based on established BNs and prior information. Compared against existing benchmark models, MINDMerge maintained a higher AUC for AKI prediction in both internal (AUC: 0.832) and external network validations (AUC: 0.861). Conclusion: MINDMerge can identify causal risk factors of AKI, serving as a valuable diagnostic tool for clinical decision-making and facilitating effective intervention. © 2024 Elsevier B.V.</t>
  </si>
  <si>
    <t>Acute kidney injury; Causal discovery; Causal network synthesis; Network cycle-breaking; Risk factor identification</t>
  </si>
  <si>
    <t>Iturbe E.; Arcas J.; Rios E.; Toledo N.</t>
  </si>
  <si>
    <t>A Multi-layer Approach through Threat Modelling and Attack Simulation for Enhanced Cyber Security Assessment</t>
  </si>
  <si>
    <t>https://www.scopus.com/inward/record.uri?eid=2-s2.0-85200375955&amp;doi=10.1145%2f3664476.3670458&amp;partnerID=40&amp;md5=9139e91daca052db7e54c3d48903cf5e</t>
  </si>
  <si>
    <t>There is a growing concern about the dynamic landscape of cyber security threats escalating, and the need for improvement in defence capabilities against emerging sophisticated incidents. In response, this paper presents a solution called the Cyber Incident Simulation System, which enables system security engineers to simulate cyber-physical attacks and incidents without the requirement to affect or disrupt the ongoing business operation of the system. Leveraging graph-based threat modelling and AI-generated incident data, the system empowers professionals to predict the effect of the incident within the system under study. The synthetic data is used by anomaly-based Intrusion Detection Systems (IDSs) and other additional security controls to improve their detection algorithms to enhance their accuracy and effectiveness. The Cyber Incident Simulation System is designed to enhance the cyber security measures through the simulation of various incident scenarios.  © 2024 ACM.</t>
  </si>
  <si>
    <t>attack graph; cyber security; cyber security assessment; simulation; synthetic data generation; threat modelling</t>
  </si>
  <si>
    <t>Yu H.; She C.; Hu Y.; Wang G.; Wang R.; Vucetic B.; Li Y.</t>
  </si>
  <si>
    <t>https://www.scopus.com/inward/record.uri?eid=2-s2.0-85200262912&amp;doi=10.1109%2fJSAC.2024.3413994&amp;partnerID=40&amp;md5=c725f07c4be8b246df338cc44f151b2b</t>
  </si>
  <si>
    <t>Machine learning has been considered a promising approach for indoor localization. Nevertheless, the sample efficiency, scalability, and generalization ability remain open issues of implementing learning-based algorithms in practical systems. In this paper, we establish a zero-shot learning framework that does not need real-world measurements in a new communication environment. Specifically, a graph neural network that is scalable to the number of access points (APs) and mobile devices (MDs) is used for obtaining coarse locations of MDs. Based on the coarse locations, the floor-plan image between an MD and an AP is exploited to improve localization accuracy in a floor-plan-aided deep neural network. To further improve the generalization ability, we develop a synthetic data generator that provides synthetic data samples in different scenarios, where real-world samples are not available. We implement the framework in a prototype that estimates the locations of MDs. Experimental results show that our zero-shot learning method can reduce localization errors by around 30% to 55% compared with three baselines from the existing literature.  © 2024 IEEE.</t>
  </si>
  <si>
    <t>deep vision transformer; graph neural networks; Indoor localization; zero-shot learning</t>
  </si>
  <si>
    <t>Kim E.H.; Gu J.H.; Lee J.H.; Kim S.H.; Kim J.; Shin H.G.; Kim S.H.; Lee D.</t>
  </si>
  <si>
    <t>https://www.scopus.com/inward/record.uri?eid=2-s2.0-85200892409&amp;doi=10.1021%2facsami.4c07851&amp;partnerID=40&amp;md5=b828e91bd67a239bc151828b6d22d0a3</t>
  </si>
  <si>
    <t>Applying machine-learning techniques for imbalanced data sets presents a significant challenge in materials science since the underrepresented characteristics of minority classes are often buried by the abundance of unrelated characteristics in majority of classes. Existing approaches to address this focus on balancing the counts of each class using oversampling or synthetic data generation techniques. However, these methods can lead to loss of valuable information or overfitting. Here, we introduce a deep learning framework to predict minority-class materials, specifically within the realm of metal-insulator transition (MIT) materials. The proposed approach, termed boosting-CGCNN, combines the crystal graph convolutional neural network (CGCNN) model with a gradient-boosting algorithm. The model effectively handled extreme class imbalances in MIT material data by sequentially building a deeper neural network. The comparative evaluations demonstrated the superior performance of the proposed model compared to other approaches. Our approach is a promising solution for handling imbalanced data sets in materials science. © 2024 American Chemical Society.</t>
  </si>
  <si>
    <t>deep learning; gradient boosting; graph neural network (GNN); imbalanced data; inverse design; metal−insulator transition (MIT)</t>
  </si>
  <si>
    <t>Zhu Y.; Hu F.; Kuo L.H.; Liu J.</t>
  </si>
  <si>
    <t>SCOREH+: A High-Order Node Proximity Spectral Clustering on Ratios-of-Eigenvectors Algorithm for Community Detection</t>
  </si>
  <si>
    <t>https://www.scopus.com/inward/record.uri?eid=2-s2.0-85181562171&amp;doi=10.1109%2fTBDATA.2023.3346715&amp;partnerID=40&amp;md5=e39497d5d1a559f3519e3cb433c9da0d</t>
  </si>
  <si>
    <t>The research on complex networks has achieved significant progress in revealing the mesoscopic features of networks. Community detection is an important aspect of understanding real-world complex systems. We present in this paper a High-order node proximity Spectral Clustering on Ratios-of-Eigenvectors (SCOREH+) algorithm for locating communities in complex networks. The algorithm improves SCORE and SCORE+ and preserves high-order transitivity information of the network affinity matrix. We optimize the high-order proximity matrix from the initial affinity matrix using the Radial Basis Functions (RBFs) and Katz index. In addition to the optimization of the Laplacian matrix, we implement a procedure that joins an additional eigenvector (the (k+1)thk+1) th leading eigenvector) to the spectrum domain for clustering if the network is considered to be a 'weak signal' graph. The algorithm has been successfully applied to both real-world and synthetic data sets. The proposed algorithm is compared with state-of-art algorithms, such as ASE, Louvain, Fast-Greedy, Spectral Clustering (SC), SCORE, and SCORE+. To demonstrate the high efficacy of the proposed method, we conducted comparison experiments on eleven real-world networks and a number of synthetic networks with noise. The experimental results in most of these networks demonstrate that SCOREH+ outperforms the baseline methods. Moreover, by tuning the RBFs and their shaping parameters, we may generate state-of-the-art community structures on all real-world networks and even on noisy synthetic networks.  © 2015 IEEE.</t>
  </si>
  <si>
    <t>Community detection; graph decomposition; high-order proximity; radial basis functions; spectral clustering</t>
  </si>
  <si>
    <t>Helm P.; Lipp B.; Pujadas R.</t>
  </si>
  <si>
    <t>Generating reality and silencing debate: Synthetic data as discursive device</t>
  </si>
  <si>
    <t>https://www.scopus.com/inward/record.uri?eid=2-s2.0-85192103262&amp;doi=10.1177%2f20539517241249447&amp;partnerID=40&amp;md5=69a1a4cd81028c811ef620ada0e72ddf</t>
  </si>
  <si>
    <t>In addition to tapping data from users’ behavioral surplus, by drawing on generative adversarial networks, data for artificial intelligence is now increasingly being generated through artificial intelligence. With this new method of producing data synthetically, the data economy is not only shifting from “data collection” to “data generation.” Synthetic data is also being employed to address some of the most pressing ethical concerns around artificial intelligence. It thereby comes with the sociotechnical imaginary that social problems can be cut out of artificial intelligence, separating training data from real persons. In response to this technical solutionism, this commentary aims to initiate a critical debate about synthetic data that goes beyond misuse scenarios such as the use of generative adversarial networks to create deep fakes or dark patterns. Instead, on a more general level, we seek to complicate the idea of “solving,” i.e., “closing” and thus “silencing” the ethico-political debates for which synthetic data is supposed to be a solution by showing how synthetic data itself is political. Drawing on the complex connections between recent uses of synthetic data and public debates about artificial intelligence, we therefore propose to consider and analyze synthetic data not only as a technical device but as a discursive one as well. To this end, we shed light on their relationship to three pillars that we see associated with them (a) algorithmic bias, (b) privacy, (c) platform economy. © The Author(s) 2024.</t>
  </si>
  <si>
    <t>algorithmic bias; artificial intelligence; generative adversarial networks; platform economy; privacy; Synthetic data</t>
  </si>
  <si>
    <t>Tsai H.-T.; Wu J.; Gupta P.; Heinz E.R.; Jafari A.</t>
  </si>
  <si>
    <t>Predicting blood transfusions for coronary artery bypass graft patients using deep neural networks and synthetic data</t>
  </si>
  <si>
    <t>https://www.scopus.com/inward/record.uri?eid=2-s2.0-85201816995&amp;doi=10.1007%2fs00521-024-10309-9&amp;partnerID=40&amp;md5=662ef402010e5c77ccc7d108ed2d5c9f</t>
  </si>
  <si>
    <t>Coronary Artery Bypass Graft (CABG) is a common cardiac surgery, but it continues to have many associated risks, including the need for blood transfusions. Previous research has shown that blood transfusion during CABG surgery is associated with an increased risk for infection and mortality. The current study aims to use modern techniques, such as deep neural networks and data synthesis, to develop models that can best predict the need for blood transfusion among CABG patients. Results show that neural networks with synthetic data generated by DataSynthesizer have the best performance. Implications of results and future directions are discussed. © The Author(s), under exclusive licence to Springer-Verlag London Ltd., part of Springer Nature 2024.</t>
  </si>
  <si>
    <t>Blood transfusion; Cardiac surgery; Data synthesis; Deep neural network</t>
  </si>
  <si>
    <t>Gaggion N.; Ferrante E.; Paniagua B.; Vicory J.</t>
  </si>
  <si>
    <t>Fitting Skeletal Models via Graph-Based Learning</t>
  </si>
  <si>
    <t>https://www.scopus.com/inward/record.uri?eid=2-s2.0-85203338775&amp;doi=10.1109%2fISBI56570.2024.10635871&amp;partnerID=40&amp;md5=ea3b0c1a8ec9d46192d17c302d708bbb</t>
  </si>
  <si>
    <t>Skeletonization is a popular shape analysis technique that models an object's interior as opposed to just its boundary. Fitting template-based skeletal models is a time-consuming process requiring much manual parameter tuning. Recently, machine learning-based methods have shown promise for generating s-reps from object boundaries. In this work, we propose a new skeletonization method which leverages graph convolutional networks to produce skeletal representations (s-reps) from dense segmentation masks. The method is evaluated on both synthetic data and real hippocampus segmentations, achieving promising results and fast inference. © 2024 IEEE.</t>
  </si>
  <si>
    <t>Geometric learning; Graph-based neural networks; Shape analysis; Skeletal representations</t>
  </si>
  <si>
    <t>https://www.scopus.com/inward/record.uri?eid=2-s2.0-85195648362&amp;partnerID=40&amp;md5=acf94316688147bbe2e06a806ea25c5f</t>
  </si>
  <si>
    <t>De Castro A.G.; Esteve Rothenberg C.</t>
  </si>
  <si>
    <t>Innovative Approaches for Network Analysis and Optimization: Leveraging Deep Learning and Programmable Hardware</t>
  </si>
  <si>
    <t>https://www.scopus.com/inward/record.uri?eid=2-s2.0-85199561133&amp;doi=10.1109%2fNetSoft60951.2024.10588944&amp;partnerID=40&amp;md5=0b99bff6c234d3aa015a7bc4c1297e5b</t>
  </si>
  <si>
    <t>Network demand for real-time applications like self-driving cars and cloud gaming strains existing networks. Latency and congestion hurt user experience. Realistic testing is vital to improving networks, but real-world data is scarce. In this context, we propose to analyze existing network data and identify traffic patterns and anomalies. We believe this knowledge can be used to feed generative adversarial network (GAN) models, which can create realistic synthetic data, supplementing existing real traces while protecting end-user privacy. This augmented data can then be used, for instance, to empower improved routing algorithms designed to benefit from programmable hardware (e.g., SmartNICs) and collected data plane metrics, paving the way for improved network performance and enhanced user experience with more autonomous decisions. This paper presents our initial analysis of synthetic network data generation technologies and summarizes the main ideas guiding my Ph. D. research. © 2024 IEEE.</t>
  </si>
  <si>
    <t>and network trace generation; neural networks; programmable hardware</t>
  </si>
  <si>
    <t>Jin X.; Ji H.</t>
  </si>
  <si>
    <t>Schema-Based Data Augmentation for Event Extraction</t>
  </si>
  <si>
    <t>https://www.scopus.com/inward/record.uri?eid=2-s2.0-85195973335&amp;partnerID=40&amp;md5=9f8b0855d3b57ed8bdd1273496142f49</t>
  </si>
  <si>
    <t>Event extraction is a crucial task for semantic understanding and structured knowledge construction. However, the expense of collecting and labeling data for training event extraction models is usually high. To address this issue, we propose a novel schema-based data augmentation method that utilizes event schemas to guide the data generation process. The event schemas depict the typical patterns of complex events and can be used to create new synthetic data for event extraction. Specifically, we sub-sample from the schema graph to obtain a subgraph, instantiate the schema subgraph, and then convert the instantiated subgraph to natural language texts. We conduct extensive experiments on event trigger detection, event trigger extraction, and event argument extraction tasks using two datasets (including five scenarios). The experimental results demonstrate that our proposed data-augmentation method produces high-quality generated data and significantly enhances the model performance, with up to 12% increase in F1 score on event trigger detection task compared to baseline methods. © 2024 ELRA Language Resource Association: CC BY-NC 4.0.</t>
  </si>
  <si>
    <t>Data Augmentation; Event Extraction; Information Extraction</t>
  </si>
  <si>
    <t>Weerasinghe K.; Janapati S.; Ge X.; Kim S.; Iyer S.; Stankovic J.A.; Alemzadeh H.</t>
  </si>
  <si>
    <t>https://www.scopus.com/inward/record.uri?eid=2-s2.0-85197769304&amp;doi=10.1109%2fIoTDI61053.2024.00012&amp;partnerID=40&amp;md5=a3b7cf14e46ecb2d4e49905fb845f2c9</t>
  </si>
  <si>
    <t>Emergency Medical Services (EMS) responders often operate under time-sensitive conditions, facing cognitive overload and inherent risks, requiring essential skills in critical thinking and rapid decision-making. This paper presents CognitiveEMS, an end-to-end wearable cognitive assistant system that can act as a collaborative virtual partner engaging in the real-time acquisition and analysis of multimodal data from an emergency scene and interacting with EMS responders through Augmented Reality (AR) smart glasses. CognitiveEMS processes the continuous streams of data in real-time and leverages edge computing to provide assistance in EMS protocol selection and intervention recognition. We address key technical challenges in real-time cognitive assistance by introducing three novel components: (i) a Speech Recognition model that is fine-tuned for real-world medical emergency conversations using simulated EMS audio recordings, augmented with synthetic data generated by large language models (LLMs); (ii) an EMS Protocol Prediction model that combines state-of-the-art (SOTA) tiny language models with EMS domain knowledge using graph-based attention mechanisms; (iii) an EMS Action Recognition module which leverages multimodal audio and video data and protocol predictions to infer the intervention/treatment actions taken by the responders at the incident scene. Our results show that for speech recognition we achieve superior performance compared to SOTA (WER of 0.290 vs. 0.618) on conversational data. Our protocol prediction component also significantly outperforms SOTA (top-3 accuracy of 0.800 vs. 0.200) and the action recognition achieves an accuracy of 0.727, while maintaining an end-to-end latency of 3.78s for protocol prediction on the edge and 0.31s on the server. © 2024 IEEE.</t>
  </si>
  <si>
    <t>Artificial Intelligence; Augmented Reality; Cognitive Assistance; Edge Computing; Machine Learning; Smart Health</t>
  </si>
  <si>
    <t>Degardin B.; Lopes V.; Proenca H.</t>
  </si>
  <si>
    <t>Fake It Till You Recognize It: Quality Assessment for Human Action Generative Models</t>
  </si>
  <si>
    <t>https://www.scopus.com/inward/record.uri?eid=2-s2.0-85188010074&amp;doi=10.1109%2fTBIOM.2024.3375453&amp;partnerID=40&amp;md5=8836ba50e2a44bb78950801e302a80a2</t>
  </si>
  <si>
    <t>Skeleton-based generative modelling is an important research topic to mitigate the heavy annotation process. In this work, we explore the impact of synthetic data on skeleton-based action recognition alongside its evaluation methods for more precise quality extraction. We propose a novel iterative weakly-supervised learning generative strategy for synthesising high-quality human actions. We combine conditional generative models with Bayesian classifiers to select the highest-quality samples. As an essential factor, we designed a discriminator network that, together with a Bayesian classifier relies on the most realistic instances to augment the amount of data available for the next iteration without requiring standard cumbersome annotation processes. Additionally, as a key contribution to assessing the quality of samples, we propose a novel measure based on human kinematics instead of employing commonly used evaluation methods, which are heavily based on images. The rationale is to capture the intrinsic characteristics of human skeleton dynamics, thereby complementing model comparison and alleviating the need to manually select the best samples. Experiments were carried out over four benchmarks of two well-known datasets (NTU RGB+D and NTU-120 RGB+D), where both our framework and model assessment can notably enhance skeleton-based action recognition and generation models by synthesising high-quality and realistic human actions.  © 2019 IEEE.</t>
  </si>
  <si>
    <t>generative adversarial networks; graph convolutional networks; self-supervised learning; skeleton-based action recognition; Weakly-supervised learning</t>
  </si>
  <si>
    <t>McBrearty I.W.; Segall P.</t>
  </si>
  <si>
    <t>Deep Learning Forecasts Caldera Collapse Events at Kı̄lauea Volcano</t>
  </si>
  <si>
    <t>https://www.scopus.com/inward/record.uri?eid=2-s2.0-85202502351&amp;doi=10.1029%2f2024JB029471&amp;partnerID=40&amp;md5=6fec1b7ff7013f4e3dba17fedeff65c0</t>
  </si>
  <si>
    <t>During the 3 month long eruption of Kı̄lauea volcano, Hawaii in 2018, the pre-existing summit caldera collapsed in over 60 quasi-periodic failure events. The last 40 of these events, which generated Mw &gt; 5 very long period (VLP) earthquakes, had inter-event times between 0.8 and 2.2 days. These failure events offer a unique data set for testing methods for predicting earthquake recurrence based on locally recorded GPS, tilt, and seismicity data. In this work, we train a deep learning graph neural network (GNN) to predict the time-to-failure of the caldera collapse events using only a fraction of the data recorded at the start of each cycle. We find that the GNN generalizes to unseen data and can predict the time-to-failure to within a few hours using only 0.5 days of data, substantially improving upon a null model based only on inter-event statistics. Predictions improve with increasing input data length, and are most accurate when using high-SNR tilt-meter data. Applying the trained GNN to synthetic data with different magma-chamber pressure decay times predicts failure at a nearly constant stress threshold, revealing that the GNN is sensing the underling physics of caldera collapse. These findings demonstrate the predictability of caldera collapse sequences under well monitored conditions, and highlight the potential of machine learning methods for forecasting real world catastrophic events with limited training data. © 2024. American Geophysical Union. All Rights Reserved.</t>
  </si>
  <si>
    <t>deep learning; forecasting caldera collapse</t>
  </si>
  <si>
    <t>Latipov I.-A.; Borevskiy A.; Kertesz-Farkas A.</t>
  </si>
  <si>
    <t>CLEVR-BT-DB: A Benchmark Dataset to Evaluate the Reasoning Abilities of Deep Neural Models in Visual Question Answering Problems</t>
  </si>
  <si>
    <t>https://www.scopus.com/inward/record.uri?eid=2-s2.0-85195503344&amp;doi=10.1117%2f12.3027602&amp;partnerID=40&amp;md5=404e18595860afe8c5b0ea941f19d70c</t>
  </si>
  <si>
    <t>Deep learning-based machine reasoning and visual question answering models achieve a near-human performance on their respective datasets; however, their performance dramatically drops under domain shift suggesting that models fail to generalize to the level of human-like reasoning. In this paper we present a new CLEVR-like dataset consisting of images-question pairs to evaluate the visual reasoning capability of deep models. The objects in the images are arranged in a way that the first half of the question is ambiguous and multiple answers seem to be correct up to this point; however, the second half of the question clarifies the situation and makes the whole visual question-answering (VQA) task unambiguous, and a unique answer can be reported. Therefore, deep models during their reasoning process need to handle ambiguousness in their neurons. They can handle this either via graph (or tree) traversing in the search space with using back-tracking technique or via refining a candidate set of possibly correct answers by iteratively eliminating incorrect ones upon some reasoning calculations. We call this data-set CLEVR with Back-Tracking Database, CLEVR-BT-DB. It consists of 2,500 images and 10,000 questions in the same format as the standard CLEVR, and it is available at https://huggingface.co/datasets/Aborevsky01/CLEVR-BT-DB site. The code to generate additional data is available at https://github.com/AFigaro/CLEVR_BT_DB site. We tested MDETR method, a recent deep model for VQA from Meta Research, it achieved an accuracy of 99.7 % on the Standard CLEVR dataset; however, it achieves an accuracy of 28.01 % on our CLEVR-BT-DB dataset. © 2024 SPIE.</t>
  </si>
  <si>
    <t>Backtracking; Machine Reasoning; Synthetic data; Visual Question Answering</t>
  </si>
  <si>
    <t>Zafar A.; Sahoo S.K.; Bhardawaj H.; Das A.; Ekbal A.</t>
  </si>
  <si>
    <t>KI-MAG: A knowledge-infused abstractive question answering system in medical domain</t>
  </si>
  <si>
    <t>https://www.scopus.com/inward/record.uri?eid=2-s2.0-85181014592&amp;doi=10.1016%2fj.neucom.2023.127141&amp;partnerID=40&amp;md5=176e9e04431a6574787ad71dc2e87e4c</t>
  </si>
  <si>
    <t>Abstractive question-answering (QA) has emerged as a prominent area in Natural Language Processing (NLP) due to its ability to produce concise and human-like responses, particularly with the advancement of Large Language Models. Despite its potential, abstractive QA suffers from challenges like the need for extensive training data and the generation of incorrect entities and out-of-context words in the responses. In safety–critical domains like medical and clinical settings, such issues are unacceptable and may compromise the accuracy and reliability of generated answers. We proposed KI-MAG (Knowledge-Infused Medical Abstractive Generator) model, a novel Knowledge-Infused Abstractive Question Answering System specifically designed for the medical domain. KI-MAG aims to address the aforementioned limitations and enhance the correctness of generated responses while mitigating data sparsity concerns. The KI-MAG system produces more precise and informative answers by incorporating relevant medical entities into the model's generation process. Furthermore, we adopt a synthetic data generation approach using question–answer pairs to overcome the challenge of limited training data in the medical domain. These synthetic pairs augment the original dataset, resulting in better model generalization and improved performance. Our extensive experimental evaluations demonstrate the effectiveness of the KI-MAG system. Compared to traditional abstractive QA models, our approach exhibits a substantial increase of approximately 15% in Blue-1, Blue-2, Blue-3, and Blue-4 scores, indicating a remarkable improvement in answer accuracy and overall quality of responses. Overall, our Knowledge-Infused Abstractive Question Answering System in the Medical Domain (KI-MAG) presents a promising solution to enhance the performance and reliability of abstractive QA models in safety–critical medical applications where precision and correctness of answers are of utmost importance. © 2023 Elsevier B.V.</t>
  </si>
  <si>
    <t>Answer generation; Knowledge filtering; Knowledge graphs; Knowledge infusion; Medical question answering; Pre-trained language models</t>
  </si>
  <si>
    <t>Ruggeri N.; Battiston F.; De Bacco C.</t>
  </si>
  <si>
    <t>Framework to generate hypergraphs with community structure</t>
  </si>
  <si>
    <t>https://www.scopus.com/inward/record.uri?eid=2-s2.0-85188270110&amp;doi=10.1103%2fPhysRevE.109.034309&amp;partnerID=40&amp;md5=598c79e57956e021bf2caf046c882010</t>
  </si>
  <si>
    <t>In recent years hypergraphs have emerged as a powerful tool to study systems with multibody interactions which cannot be trivially reduced to pairs. While highly structured methods to generate synthetic data have proved fundamental for the standardized evaluation of algorithms and the statistical study of real-world networked data, these are scarcely available in the context of hypergraphs. Here we propose a flexible and efficient framework for the generation of hypergraphs with many nodes and large hyperedges, which allows specifying general community structures and tune different local statistics. We illustrate how to use our model to sample synthetic data with desired features (assortative or disassortative communities, mixed or hard community assignments, etc.), analyze community detection algorithms, and generate hypergraphs structurally similar to real-world data. Overcoming previous limitations on the generation of synthetic hypergraphs, our work constitutes a substantial advancement in the statistical modeling of higher-order systems.  © 2024 authors. Published by the American Physical Society.</t>
  </si>
  <si>
    <t>Sharma O.; Sawarn S.; Deepak G.</t>
  </si>
  <si>
    <t>OGGPS: An Automatic Intelligence Driven Approach for Ontology Generation on Gandhian Philosophy and Peace Studies</t>
  </si>
  <si>
    <t>https://www.scopus.com/inward/record.uri?eid=2-s2.0-85200675917&amp;doi=10.1007%2f978-3-031-64779-6_25&amp;partnerID=40&amp;md5=0e4ff9d974c863ff84f9ddfc03cbb802</t>
  </si>
  <si>
    <t>This research aims to exploit the integration and competition of Generative Reciprocal Networks (GANs). An Algorithm to Facilitate Automatic Ontology Generation and Knowledge Graph (KG) Synthesis of Gandhi and Peace Studies. Combining the power of GANs to generate synthetic data and a competitive analysis algorithm and ordering concepts, comprehensive ontology and data graph can be created. This approach allows Systematic organization and presentation of concepts and relationships central to Gandhi's philosophy and peace studies. The iterative process allows for refinement and improvement, ensuring the accuracy of the ontology and KG to capture the complexity of the domain. © The Author(s), under exclusive license to Springer Nature Switzerland AG 2024.</t>
  </si>
  <si>
    <t>GAN; Gandhian Philosophy; Knowledge Graph; Latent Semantic Analysis; Modelling; Ontology</t>
  </si>
  <si>
    <t>Huang K.; Chen C.</t>
  </si>
  <si>
    <t>Subgraph generation applied in GraphSAGE deal with imbalanced node classification</t>
  </si>
  <si>
    <t>https://www.scopus.com/inward/record.uri?eid=2-s2.0-85198512255&amp;doi=10.1007%2fs00500-024-09797-7&amp;partnerID=40&amp;md5=c22f2ad3edcae8567870dbe5f82db340</t>
  </si>
  <si>
    <t>In graph neural network applications, GraphSAGE applies inductive learning and has been widely applied in important research topics such as node classification. The subgraph of nodes directly affects the classification performance for GraphSAGE since it applies aggregation function to obtain embedding from the neighbors’ feature. In many practical applications, the uneven class distribution of nodes makes it difficult for graph neural network to fully learn the topology and attribute of the minority, which limits the classification performance. Aiming at the problem of imbalanced node classification in GraphSAGE, we propose a new graph over-sampling algorithm called subgraph generation by conditional generative adversarial network (SG-CGAN). SG-CGAN learns the hidden layer expression of different nodes through GraphSAGE and trains conditional generative adversarial network (CGAN) through the nodes’ hidden vector and related subgraph. Meanwhile, the hidden synthetic data are generated as input of CGAN to generate subgraphs of the minority, and retrain the GraphSAGE by adding the synthetic subgraphs. In the experiments on five graph datasets with first-order neighbors, the average improvement in ACC, macro-F1, and micro-F1 was 1.25%, 4.44%, and 1.59%, respectively, compared to not adding synthetic data. In the second-order neighbor experiments, the percentages were 0.75%, 3.58%, and 2.1%, verifying the effectiveness of the SG-CGAN generated data. © The Author(s), under exclusive licence to Springer-Verlag GmbH Germany, part of Springer Nature 2024.</t>
  </si>
  <si>
    <t>Generative adversarial network; Graph neural network; Imbalanced learning</t>
  </si>
  <si>
    <t>https://www.scopus.com/inward/record.uri?eid=2-s2.0-85195701725&amp;partnerID=40&amp;md5=41baaae93a97312613b4284215f6402d</t>
  </si>
  <si>
    <t>Sarris V.E.; Sweeney C.P.; Linton S.M.; Nixon B.T.; Chrysanthis P.K.; Costa C.</t>
  </si>
  <si>
    <t>GIO.G: A Generator for Indoor-Outdoor Graphs to Simulate and Analyze Urban Environments</t>
  </si>
  <si>
    <t>https://www.scopus.com/inward/record.uri?eid=2-s2.0-85199620446&amp;doi=10.1109%2fMDM61037.2024.00050&amp;partnerID=40&amp;md5=5c12e51fa5fdd297448b4e2311983b90</t>
  </si>
  <si>
    <t>Pedestrian-focused modeling of urban environments is difficult due to a lack of publicly available realistic datasets, and the time and labor-intensive manual processes required to make one, creating barriers to effective evaluation and analysis. In this paper, we introduce GIO.G, a Generator for Indoor-Outdoor Graphs, designed to address these challenges and enhance pedestrian-focused simulation in urban environments. GIO.G offers configurable parameters such as building characteristics, urban density, and foot traffic congestion levels, enabling users to explore a wide range of scenarios with precision and scalability. Through a series of scenarios, we highlight GIO.G's unique features and showcase GIO.G's versatility and effectiveness in generating realistic Indoor-Outdoor Graphs. © 2024 IEEE.</t>
  </si>
  <si>
    <t>Data exploration; Data visualization; Graph drawing; Indoor-Outdoor Graphs; Synthetic data; User inter-faces</t>
  </si>
  <si>
    <t>Dabush L.; Routtenberg T.</t>
  </si>
  <si>
    <t>Verifying the Smoothness of Graph Signals: A Graph Signal Processing Approach</t>
  </si>
  <si>
    <t>https://www.scopus.com/inward/record.uri?eid=2-s2.0-85200817993&amp;doi=10.1109%2fTSP.2024.3439554&amp;partnerID=40&amp;md5=c94998578485be0933f1b6ba2654a4dd</t>
  </si>
  <si>
    <t>Graph signal processing (GSP) deals with the representation, analysis, and processing of structured data, i.e. &lt;italic&gt;graph signals&lt;/italic&gt; that are defined on the vertex set of a generic graph. A crucial prerequisite for applying various GSP and graph neural network (GNN) approaches is that the examined signals are &lt;italic&gt;smooth graph signals&lt;/italic&gt; with respect to the underlying graph, or, equivalently, have low graph total variation (TV). In this paper, we develop GSP-based approaches to verify the validity of the smoothness assumption of given signals (data) and an associated graph. The proposed approaches are based on the representation of network data as the output of a graph filter with a given graph topology. In particular, we develop two smoothness detectors for the graph-filter-output model: 1) the likelihood ratio test (LRT) for known model parameters; and 2) a semi-parametric detector that estimates the graph filter and then validates its smoothness. The properties of the proposed GSP-based detectors are investigated, and some special cases are discussed. The performance of the GSP-based detectors is evaluated using synthetic data, data from the IEEE 14-bus power system, and measurements from a network of light intensity sensors, under different setups. The results demonstrate the good detection performance of the proposed approach and its robustness to different generating models, noise levels, topology changes, and the number of samples. IEEE</t>
  </si>
  <si>
    <t>Band-pass filters; detection of smoothness; Detectors; Filtering theory; likelihood ratio tests; Low-pass filters; smooth graph filters; Smooth graph signals; Topology; TV; Vectors</t>
  </si>
  <si>
    <t>Card S.W.</t>
  </si>
  <si>
    <t>https://www.scopus.com/inward/record.uri?eid=2-s2.0-85196530000&amp;doi=10.1117%2f12.3014453&amp;partnerID=40&amp;md5=aa2d743a5c1a28b068995558efbf00ff</t>
  </si>
  <si>
    <t>We report synthesis of an open source test data set and work in progress to expand it. Sophisticated data mining and Machine Learning (ML) techniques can discover statistical associations among variables that may or may not reflect actual causal dependencies. In many applications, systems must discriminate between associations that are mere coincidences and those that are at least plausibly causal. Further, a graph of causal relationships may be complex, with fan-in, fan-out, transitive, and various combinations of, dependencies. To test a system's power to filter out non-causal associations and untangle the causal web, suitable synthetic data is needed. We report the development, in Wolfram Mathematica, of code that synthesizes data with subtle, complex, causal dependencies among some but not all of the generated observable variables. We implement several simple dissipative chaotic flows. Four (4) are autonomous, six (6) are driven. Among the resulting ten (10) observable state vectors, there are forty-five (45) potential pairwise (1:1) relationships, of which four (4) are strong, five (5) are moderate, three (3) are weak, for a total of twelve (12) that are actually causal, and any others are mere statistical artifacts that a tool under test should reject. Each system's observables are corrupted by additive Gaussian noise. Each system's hidden dynamics are disturbed by a normal Wiener process. The levels of these stochastic components are parameterized to make problem difficulty tunable. A set of generated data and code for generating more will be released openly on-line. © 2024 SPIE.</t>
  </si>
  <si>
    <t>dynamical systems; explainable AI/ML; generalization; Granger causality; Mutual Information; Pearl causality; symbolic models; trustworthy autonomy</t>
  </si>
  <si>
    <t>Hubert N.; Monnin P.; d’Aquin M.; Monticolo D.; Brun A.</t>
  </si>
  <si>
    <t>PyGraft: Configurable Generation of Synthetic Schemas and Knowledge Graphs at Your Fingertips</t>
  </si>
  <si>
    <t>https://www.scopus.com/inward/record.uri?eid=2-s2.0-85195281981&amp;doi=10.1007%2f978-3-031-60635-9_1&amp;partnerID=40&amp;md5=86c15f9b7a82c17bc08e58024099eb8b</t>
  </si>
  <si>
    <t>Knowledge graphs (KGs) have emerged as a prominent data representation and management paradigm. Being usually underpinned by a schema (e.g., an ontology), KGs capture not only factual information but also contextual knowledge. In some tasks, a few KGs established themselves as standard benchmarks. However, recent works outline that relying on a limited collection of datasets is not sufficient to assess the generalization capability of an approach. In some data-sensitive fields such as education or medicine, access to public datasets is even more limited. To remedy the aforementioned issues, we release PyGraft, a Python-based tool that generates highly customized, domain-agnostic schemas and KGs. The synthesized schemas encompass various RDFS and OWL constructs, while the synthesized KGs emulate the characteristics and scale of real-world KGs. Logical consistency of the generated resources is ultimately ensured by running a description logic (DL) reasoner. By providing a way of generating both a schema and KG in a single pipeline, PyGraft’s aim is to empower the generation of a more diverse array of KGs for benchmarking novel approaches in areas such as graph-based machine learning (ML), or more generally KG processing. In graph-based ML in particular, this should foster a more holistic evaluation of model performance and generalization capability, thereby going beyond the limited collection of available benchmarks. PyGraft is available at: https://github.com/nicolas-hbt/pygraft. © The Author(s), under exclusive license to Springer Nature Switzerland AG 2024.</t>
  </si>
  <si>
    <t>Netzler F.; Lienkamp M.</t>
  </si>
  <si>
    <t>https://www.scopus.com/inward/record.uri?eid=2-s2.0-85199535296&amp;doi=10.3390%2fijgi13070245&amp;partnerID=40&amp;md5=ca081557f3673bf1b70c04375566efea</t>
  </si>
  <si>
    <t>mobility data; mobility data analytics; synthetic data generation</t>
  </si>
  <si>
    <t>Khan F.N.</t>
  </si>
  <si>
    <t>https://www.scopus.com/inward/record.uri?eid=2-s2.0-85147206198&amp;doi=10.1109%2fMNET.130.2200413&amp;partnerID=40&amp;md5=dd2df15ecceb54ad34503734ee0b6fd5</t>
  </si>
  <si>
    <t>Zhang R.; Worley R.; Edwards S.; Aitken J.; Anderson S.R.; Mihaylova L.</t>
  </si>
  <si>
    <t>https://www.scopus.com/inward/record.uri?eid=2-s2.0-85153474880&amp;doi=10.1109%2fLRA.2023.3268013&amp;partnerID=40&amp;md5=8688363e88d4f3f989388d681e6c9a6e</t>
  </si>
  <si>
    <t>This work proposes a novel visual Simultaneous Localisation and Mapping (vSLAM) approach for robots in sewer pipe networks. One problem of vSLAM in pipes is that the scale drifts and accuracy degrades. We propose the use of structural information to mitigate this problem via cylindrical regularity. The main novelty consists of an approach for cylinder detection that is more robust than previous methods in non-smooth sewer pipe environments. Cylindrical regularity is then incorporated into both local bundle adjustment and pose graph optimisation. The approach adopts a minimal cylinder representation with only five parameters, avoiding constraints during the optimisation in vSLAM. A further novelty is that the estimated cylinder is part of the scale drift estimation, which enables a correction to the translation estimate and this further improves the accuracy. The approach, termed Cylindrical Regularity ORB-SLAM (CRORB), is benchmarked and compared to leading visual SLAM algorithms ORB-SLAM2 and direct sparse odometry (DSO), as well as a vSLAM algorithm with cylindrical regularity developed for gas pipes, using real sewer pipe data and synthetic data generated with the Gazebo modelling software. The results demonstrate that CRORB improves substantially over the competitors, with a reduction of approximately 70% in error on real data.  © 2016 IEEE.</t>
  </si>
  <si>
    <t>Computer Vision; robot localization; robot sensing systems; simultaneous localization and mapping (SLAM); visual odometry</t>
  </si>
  <si>
    <t>Agarwal P.; Sravanthi S.L.; Bhattacharyya P.</t>
  </si>
  <si>
    <t>IndiFoodVQA: Advancing Visual Question Answering and Reasoning with a Knowledge-Infused Synthetic Data Generation Pipeline</t>
  </si>
  <si>
    <t>https://www.scopus.com/inward/record.uri?eid=2-s2.0-85188673865&amp;partnerID=40&amp;md5=6d02cb347f234d578a7c18efbbe2051a</t>
  </si>
  <si>
    <t>Large Vision Language Models (VLMs) like GPT-4, LLaVA, and InstructBLIP exhibit extraordinary capabilities for both knowledge understanding and reasoning. However, the reasoning capabilities of such models on sophisticated problems that require external knowledge of a specific domain have not been assessed well, due to the unavailability of necessary datasets. In this work, we release a first-of-its-kind dataset called IndiFoodVQA with around 16.7k data samples, consisting of explicit knowledge-infused questions, answers, and reasons. We also release IndiFoodKG, a related Knowledge Graph (KG) with 79k triples. The data has been created with minimal human intervention via an automated pipeline based on InstructBlip and GPT-3.5. We also present a methodology to extract knowledge from the KG and use it to both answer and reason upon the questions. We employ different models to report baseline zero-shot and fine-tuned results. Fine-tuned VLMs on our data showed an improvement of ∼ 25% over the corresponding base model, highlighting the fact that current VLMs need domain-specific fine-tuning to excel in specialized settings 1. Our findings reveal that (1) explicit knowledge infusion during question generation helps in making questions that have more grounded knowledge, and (2) proper knowledge retrieval can often lead to better-answering potential in such cases. © 2024 Association for Computational Linguistics.</t>
  </si>
  <si>
    <t>Moore J.H.; Li X.; Chang J.-H.; Tatonetti N.P.; Theodorescu D.; Chen Y.; Asselbergs F.W.; Venkatesan M.; Wang Z.P.</t>
  </si>
  <si>
    <t>SynTwin: A graph-based approach for predicting clinical outcomes using digital twins derived from synthetic patients</t>
  </si>
  <si>
    <t>https://www.scopus.com/inward/record.uri?eid=2-s2.0-85181414328&amp;doi=10.1142%2f9789811286421_0008&amp;partnerID=40&amp;md5=63e93544100adb753fb8ec565c442a9f</t>
  </si>
  <si>
    <t>Artificial intelligence; Digital twins; Precision medicine; Synthetic data</t>
  </si>
  <si>
    <t>9th International Conference on Mobile, Secure, and Programmable Networking, MSPN 2023</t>
  </si>
  <si>
    <t>https://www.scopus.com/inward/record.uri?eid=2-s2.0-85184101991&amp;partnerID=40&amp;md5=a990a7cca31257c12388819d43c15a6c</t>
  </si>
  <si>
    <t>The proceedings contain 15 papers. The special focus in this conference is on Mobile, Secure, and Programmable Networking. The topics include: Applying Transfer Testing to Identify Annotation Discrepancies in Facial Emotion Data Sets; multiple Person Tracking Based on Gait Identification Using Kinect and OpenPose; evaluating Image Similarity Using Contextual Information of Images with Pre-trained Models; AI vs. Dinosaurs – Automated Re-implementation of Legacy Mainframe Applications in Java by Combining Program Synthesis and GPT; fully Distributed Deep Neural Network: F2D2N; StrucTemp-GNN: An Intrusion Detection Framework in IoT Networks Using Dynamic Heterogeneous Graph Neural Networks; generating Synthetic Data to Improve Intrusion Detection in Smart City Network Systems; Building the Shortest Path Database in Urban Traffic Network Using RAO Algorithm; Position Paper: Strengthening Applets on Legacy SIM Cards with Singularization, a New Moving Target Defense Strategy; a Smart Network Repository Based on Graph Database; enhancing Security in Connected Medical IoT Networks Through Deep Learning-Based Anomaly Detection; Blockchain-Driven Animal Healthcare: Leveraging NFTs, IPFS, and Smart Contracts for Comprehensive Animal Medical Record; Transforming Child Health Records: Integrating Blockchain, NFTs, and IPFS for Enhanced Medical Data Management.</t>
  </si>
  <si>
    <t>Todman L.C.; Bush A.; Hood A.S.C.</t>
  </si>
  <si>
    <t>‘Small Data’ for big insights in ecology</t>
  </si>
  <si>
    <t>https://www.scopus.com/inward/record.uri?eid=2-s2.0-85148709616&amp;doi=10.1016%2fj.tree.2023.01.015&amp;partnerID=40&amp;md5=ce9b1fadb095edb75bc65427db8d2d8c</t>
  </si>
  <si>
    <t>Big Data science has significantly furthered our understanding of complex systems by harnessing large volumes of data, generated at high velocity and in great variety. However, there is a risk that Big Data collection is prioritised to the detriment of ‘Small Data’ (data with few observations). This poses a particular risk to ecology where Small Data abounds. Machine learning experts are increasingly looking to Small Data to drive the next generation of innovation, leading to development in methods for Small Data such as transfer learning, knowledge graphs, and synthetic data. Meanwhile, meta-analysis and causal reasoning approaches are evolving to provide new insights from Small Data. These advances should add value to high-quality Small Data catalysing future insights for ecology. © 2023 The Authors</t>
  </si>
  <si>
    <t>Big Data; data analysis; ecology; evidence synthesis; machine learning; Small Data</t>
  </si>
  <si>
    <t>Karim M.R.; Hermsen F.; Chala S.A.; De Perthuis P.; Mandal A.</t>
  </si>
  <si>
    <t>https://www.scopus.com/inward/record.uri?eid=2-s2.0-85189618024&amp;doi=10.1109%2fACCESS.2024.3383784&amp;partnerID=40&amp;md5=b9a03b264124d9d679ac970490fc7849</t>
  </si>
  <si>
    <t>Anti-money laundering; graph embedding; machine learning on graphs</t>
  </si>
  <si>
    <t>Ahsini Y.; Díaz-Masa P.; Inglés B.; Rubio A.; Martínez A.; Magraner A.; Conejero J.A.</t>
  </si>
  <si>
    <t>The Electric Vehicle Traveling Salesman Problem on Digital Elevation Models for Traffic-Aware Urban Logistics</t>
  </si>
  <si>
    <t>https://www.scopus.com/inward/record.uri?eid=2-s2.0-85172269854&amp;doi=10.3390%2fa16090402&amp;partnerID=40&amp;md5=72fbfe4fe7db05790da779b43c44d0dd</t>
  </si>
  <si>
    <t>With the increasing demand for online shopping and home delivery services, optimizing the routing of electric delivery vehicles in urban areas is crucial to reduce environmental pollution and improve operational efficiency. To address this opportunity, we optimize the Steiner Traveling Salesman Problem (STSP) for electric vehicles (EVs) in urban areas by combining city graphs with topographic and traffic information. The STSP is a variant of the traditional Traveling Salesman Problem (TSP) where it is not mandatory to visit all the nodes present in the graph. We train an artificial neural network (ANN) model to estimate electric consumption between nodes in the route using synthetic data generated with historical traffic simulation and topographical data. This allows us to generate smaller-weighted graphs that transform the problem from an STSP to a normal TSP where the 2-opt optimization algorithm is used to solve it with a Nearest Neighbor (NN) initialization. Compared to the approach of optimizing routes based on distance, our proposed algorithm offers a fast solution to the STSP for EVs (EV-STSP) with routes that consume 17.34% less energy for the test instances generated. © 2023 by the authors.</t>
  </si>
  <si>
    <t>artificial neural networks; digital elevation model; electric vehicle routing; node filtering; Steiner Traveling Salesman Problem</t>
  </si>
  <si>
    <t>Nikolentzos G.; Vazirgiannis M.; Xypolopoulos C.; Lingman M.; Brandt E.G.</t>
  </si>
  <si>
    <t>https://www.scopus.com/inward/record.uri?eid=2-s2.0-85156276935&amp;doi=10.1038%2fs41746-023-00822-x&amp;partnerID=40&amp;md5=df50dd359c7a479605f46dd778aad0c1</t>
  </si>
  <si>
    <t>Data-driven medical care delivery must always respect patient privacy—a requirement that is not easily met. This issue has impeded improvements to healthcare software and has delayed the long-predicted prevalence of artificial intelligence in healthcare. Until now, it has been very difficult to share data between healthcare organizations, resulting in poor statistical models due to unrepresentative patient cohorts. Synthetic data, i.e., artificial but realistic electronic health records, could overcome the drought that is troubling the healthcare sector. Deep neural network architectures, in particular, have shown an incredible ability to learn from complex data sets and generate large amounts of unseen data points with the same statistical properties as the training data. Here, we present a generative neural network model that can create synthetic health records with realistic timelines. These clinical trajectories are generated on a per-patient basis and are represented as linear-sequence graphs of clinical events over time. We use a variational graph autoencoder (VGAE) to generate synthetic samples from real-world electronic health records. Our approach generates health records not seen in the training data. We show that these artificial patient trajectories are realistic and preserve patient privacy and can therefore support the safe sharing of data across organizations. © 2023, The Author(s).</t>
  </si>
  <si>
    <t>Extreme and Sustainable Graph Processing for Green Finance Investment and Trading</t>
  </si>
  <si>
    <t>Čech P.; Ponce D.; Mikulecký P.; Mls K.; Žváčková A.; Tučník P.; Otčenášková T.</t>
  </si>
  <si>
    <t>Generating Synthetic Data to Improve Intrusion Detection in Smart City Network Systems</t>
  </si>
  <si>
    <t>https://www.scopus.com/inward/record.uri?eid=2-s2.0-85184132464&amp;doi=10.1007%2f978-3-031-52426-4_3&amp;partnerID=40&amp;md5=e29c336264d1ced3c22811c253eb1687</t>
  </si>
  <si>
    <t>Fast and reliable identification of cyber attacks in network systems of smart cities is currently a critical and demanding task. Machine learning algorithms have been used for intrusion detection, but the existing data sets intended for their training are often imbalanced, which can reduce the effectiveness of the proposed model. Oversampling and undersampling techniques can solve the problem but have limitations, such as the risk of overfitting and information loss. Furthermore, network data logs are noisy and inconsistent, making it challenging to capture essential patterns in the data accurately. To address these issues, this study proposes using Generative Adversarial Networks to generate synthetic network traffic data. The results offer new insight into developing more effective intrusion detection systems, especially in the context of smart cities’ network infrastructure. © The Author(s), under exclusive license to Springer Nature Switzerland AG 2024.</t>
  </si>
  <si>
    <t>generative adversarial networks; imbalanced datasets; intrusion detection; smart cities</t>
  </si>
  <si>
    <t>De Lama Sanchez N.; Haase P.; Roman D.; Prodan R.</t>
  </si>
  <si>
    <t>Boosting the Impact of Extreme and Sustainable Graph Processing for Urgent Societal Challenges in Europe Graph-Massivizer: A Horizon Europe Project</t>
  </si>
  <si>
    <t>https://www.scopus.com/inward/record.uri?eid=2-s2.0-85158859164&amp;doi=10.1145%2f3578245.3585334&amp;partnerID=40&amp;md5=83daafe305649c9ecf04e9b7bef093d9</t>
  </si>
  <si>
    <t>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 © 2023 Owner/Author.</t>
  </si>
  <si>
    <t>extreme data; graph processing; serverless computing; sustainability</t>
  </si>
  <si>
    <t>Tang J.; Zhou H.; Wang T.; Jin Z.; Wang Y.; Wang X.</t>
  </si>
  <si>
    <t>Cascaded foreign object detection in manufacturing processes using convolutional neural networks and synthetic data generation methodology</t>
  </si>
  <si>
    <t>https://www.scopus.com/inward/record.uri?eid=2-s2.0-85132590815&amp;doi=10.1007%2fs10845-022-01976-3&amp;partnerID=40&amp;md5=dc811b04df714fde4cc6c34a0662559d</t>
  </si>
  <si>
    <t>Foreign object detection in manufacturing processes based on machine vision remains a challenge. The vastly different foreign objects and the complex background, as well as the scarcity of images with foreign objects constrain the application of traditional and deep learning methods, respectively. This paper discusses a novel method for intelligent foreign object detection and automatic data generation. A cascaded convolutional neural network to detect foreign objects on the surface of the tobacco pack is proposed. The cascaded network transforms the inspection into a two-stage YOLO based object detection, consisting of the tobacco pack localization and the foreign object detection. To address the scarcity of images with foreign objects, several data augmentation methods are introduced to avoid overfitting. Furthermore, a data generation methodology based on homography transformation and image fusion is developed to generate synthetic images with foreign objects. Models trained using synthetic images generated by this method show superior performance, which presents a viable approach to detecting newly introduced foreign objects. Extensive experimental results and comparisons on the tobacco pack foreign object dataset with several state-of-the-art methods demonstrate the effectiveness and superiority of the proposed method. The proposed cascaded foreign object detection network and synthetic data generation methodology have the potential for widespread applications. © 2022, The Author(s), under exclusive licence to Springer Science+Business Media, LLC, part of Springer Nature.</t>
  </si>
  <si>
    <t>Convolutional neural network; Data augmentation; Data generation; Foreign object detection; Machine vision</t>
  </si>
  <si>
    <t>Park J.-D.; Tran C.; Shin W.-Y.; Cao X.</t>
  </si>
  <si>
    <t>https://www.scopus.com/inward/record.uri?eid=2-s2.0-85166766530&amp;doi=10.1109%2fTPAMI.2023.3300877&amp;partnerID=40&amp;md5=4ab05b12109b04f5792b9c7a0ab82f9c</t>
  </si>
  <si>
    <t>Network alignment (NA) is the task of finding the correspondence of nodes between two networks based on the network structure and node attributes. Our study is motivated by the fact that, since most of existing NA methods have attempted to discover all node pairs at once, they do not harness information enriched through interim discovery of node correspondences to more accurately find the next correspondences during the node matching. To tackle this challenge, we propose sf Grad-AlignGrad-Align, a new NA method that gradually discovers node pairs by making full use of node pairs exhibiting strong consistency, which are easy to be discovered in the early stage of gradual matching. Specifically, sf Grad-AlignGrad-Align first generates node embeddings of the two networks based on graph neural networks along with our layer-wise reconstruction loss, a loss built upon capturing the first-order and higher-order neighborhood structures. Then, nodes are gradually aligned by computing dual-perception similarity measures including the multi-layer embedding similarity as well as the Tversky similarity, an asymmetric set similarity using the Tversky index applicable to networks with different scales. Additionally, we incorporate an edge augmentation module into sf Grad-AlignGrad-Align to reinforce the structural consistency. Through comprehensive experiments using real-world and synthetic datasets, we empirically demonstrate that sf Grad-AlignGrad-Align consistently outperforms state-of-the-art NA methods.  © 1979-2012 IEEE.</t>
  </si>
  <si>
    <t>Consistency; dual-perception similarity; gradual network alignment; graph neural network; Tversky index</t>
  </si>
  <si>
    <t>Zhu J.; Chen X.; Yang H.; Nie F.</t>
  </si>
  <si>
    <t>https://www.scopus.com/inward/record.uri?eid=2-s2.0-85153513233&amp;doi=10.1109%2fTKDE.2023.3267505&amp;partnerID=40&amp;md5=0440cf38b598c5759043bf88ad74a71d</t>
  </si>
  <si>
    <t>In traditional graph embedding methods, graph construction is sensitive to high-dimensional data with noise and outliers, making an effective exploration of the neighborhood structure of the data difficult. Besides, with these methods, constructing graphs and reducing dimensions are disconnected and cannot be mutually optimized. To address these problems, we propose an unsupervised dimensionality reduction method based on bipartite graph, named unsupervised adaptive bipartite graph embedding (UABGE). First, the anchors are generated from the raw data by K-means or random sampling. Second, the bipartite graph, which is constructed between the samples and the anchors in the low-dimensional subspace, utilizes the adaptive allocation method to assign neighbors for each sample, so that the local structure of high-dimensional data can be captured effectively. Third, we present an objective function that combines bipartite graph construction and projection matrix learning to achieve mutual optimization between them, which can be solved with an alternating optimization algorithm. Finally, the computational complexity and the convergence of the algorithm are analyzed. Experimental results on synthetic data and publicly available datasets illustrate the effectiveness of the proposed method. © 1989-2012 IEEE.</t>
  </si>
  <si>
    <t>Adaptive neighbors; bipartite graph; dimensionality reduction; graph embedding</t>
  </si>
  <si>
    <t>Varbella A.; Gjorgiev B.; Sansavini G.</t>
  </si>
  <si>
    <t>https://www.scopus.com/inward/record.uri?eid=2-s2.0-85158849658&amp;doi=10.1016%2fj.ress.2023.109341&amp;partnerID=40&amp;md5=39a573562058251c70e80e978ce6f444</t>
  </si>
  <si>
    <t>Past events have revealed that widespread blackouts are mostly a result of cascading failures in the power grid. Understanding the underlining mechanisms of cascading failures can help in developing strategies to minimize the risk of such events. Moreover, a real-time detection of precursors to cascading failures will help operators take measures to prevent their propagation. Currently, the well-established probabilistic and physics-based models of cascading failures offer low computational efficiency, hindering them to be used only as offline tools. In this work, we develop a data-driven methodology for online estimation of the risk of cascading failures. We utilize a physics-based cascading failure model to generate a cascading failure dataset considering different operating conditions and failure scenarios, thus obtaining a sample space covering a large set of power grid states that are labeled as safe or unsafe. We use the synthetic data to train deep learning architectures, namely Feed-forward Neural Networks (FNN) and Graph Neural Networks (GNN). With the development of GNNs, improved performance is achieved with graph-structured data, and GNNs can generalize to graphs of diverse sizes. A comparison between FNN and GNN is made and the GNNs inductive capability is demonstrated via test grids. Furthermore, we apply transfer learning to improve the performance of a pre-trained GNN model on power grids not seen in the training process. The GNN model shows accuracy and balanced accuracy above 96% on selected test datasets not used in the training. Conversely, the FNN shows accuracy above 85% and balanced accuracy above 81% on test datasets unseen during training. Overall, the GNN model is successful in determining, if one or several simultaneous outages result in a critical grid state, under specific grid operating conditions. © 2023 The Author(s)</t>
  </si>
  <si>
    <t>Cascading failures; Graph classification; Graph representation learning; Neural networks; Power grid; Transfer learning</t>
  </si>
  <si>
    <t>Andersson E.; Björklund J.; Drewes F.; Jonsson A.</t>
  </si>
  <si>
    <t>https://www.scopus.com/inward/record.uri?eid=2-s2.0-85173059788&amp;doi=10.4204%2fEPTCS.388.3&amp;partnerID=40&amp;md5=7f96ee8a22aa2578db1d99a27240e940</t>
  </si>
  <si>
    <t>We introduce LOVELACE, a tool for creating corpora of semantic graphs. The system uses graph expansion grammar as a representational language, thus allowing users to craft a grammar that describes a corpus with desired properties. When given such grammar as input, the system generates a set of output graphs that are well-formed according to the grammar, i.e., a graph bank. The generation process can be controlled via a number of configurable parameters that allow the user to, for example, specify a range of desired output graph sizes. Central use cases are the creation of synthetic data to augment existing corpora, and as a pedagogical tool for teaching formal language theory. © Andersson et al.</t>
  </si>
  <si>
    <t>Yang X.; del Rey Castillo E.; Zou Y.; Wotherspoon L.</t>
  </si>
  <si>
    <t>https://www.scopus.com/inward/record.uri?eid=2-s2.0-85150285291&amp;doi=10.1016%2fj.autcon.2023.104838&amp;partnerID=40&amp;md5=e81c3bf27d0c1147b60a41be51a89e3c</t>
  </si>
  <si>
    <t>Deep learning techniques are capable of providing versatile solutions to automate classification of bridge point clouds into corresponding constituent components, but training sample scarcity and erroneous boundary segmentation have hindered the extent of their application. To respond to these challenges, this study presents two synthetic data augmentation strategies for alleviating the data scarcity problem and improves the weighted superpoint graph (WSPG) model by using a graph-structured deep metric learning method for generating high quality superpoints to address the erroneous boundary segmentation problem. Evaluation experiments were conducted to validate their effectiveness. Experimental results showed that the synthetic data augmentation strategies can significantly alleviate the training sample scarcity problem. The synthetic superpoint augmentation strategy outperformed the synthetic point cloud augmentation strategy with an increase of around 6% for overall accuracy (OA), 3% for mean class accuracy (mAcc) and 18% for mean Intersection over Union (mIoU). Compared with the original WSPG model, the improved WSPG model with graph-structured deep metric learning method increased the mIoU of the overall dataset and the pier caps by 4% and 21% respectively, while also reducing the boundary segmentation errors. © 2023 Elsevier B.V.</t>
  </si>
  <si>
    <t>Boundary segmentation; Bridge component recognition; Deep learning; High quality superpoint generation; Weighted superpoint graph</t>
  </si>
  <si>
    <t>Poghosyan S.; Alaverdyan Y.; Poghosyan V.; Abrahamyan S.; Atashyan A.; Astsatryan H.; Shoukourian Y.</t>
  </si>
  <si>
    <t>Certain methods for investigating epidemics and preventing the spread of viruses in self-organizing systems</t>
  </si>
  <si>
    <t>https://www.scopus.com/inward/record.uri?eid=2-s2.0-85161613603&amp;doi=10.1063%2f5.0135809&amp;partnerID=40&amp;md5=67084a726db243f2caa1e7d9eaad16a6</t>
  </si>
  <si>
    <t>Investigation and control of epidemic phenomena, as well as introduction of methods for preventing the spread of viruses, are always up-to-date. In this context, the paper presents newer methods of modeling the dynamics of epidemics in self-organizing systems based on cellular automata. Methods and approaches for behavioral analysis of epidemic waves, also for statistical data processing, are promoted and validated in terms of obtained theoretical results. Recovery of causality in multilevel graphs simulating epidemic situations observed over time is given ac-cordingly. A multi-user software platform designed for the purpose enables collective observation and operation of dynamic processes. This also makes it possible to conduct comprehensive analysis of epidemiological procedures and dynamical prediction of target parameters. Cryptographic algorithms and data anonymization techniques of proven security have been suggested to protect personal information at all levels of data acquisition, storage, transfer and processing. A method for synthetic data generation enabling simulation and investigation of the spread of viruses has been introduced and estimated accordingly. © 2023 Author(s).</t>
  </si>
  <si>
    <t>Ren W.; Ghazinour K.; Lian X.</t>
  </si>
  <si>
    <t>https://www.scopus.com/inward/record.uri?eid=2-s2.0-85141632997&amp;doi=10.1109%2fTKDE.2022.3221333&amp;partnerID=40&amp;md5=448436ed700f0effd09d29262fbdd468</t>
  </si>
  <si>
    <t>In a wide spectrum of real-world applications, it is very important to analyze and mine graph data such as social networks, communication networks, citation networks, and so on. However, the release of such graph data often raises privacy issue, and the graph privacy preservation has recently drawn much attention from the database community. While prior works on graph privacy preservation mainly focused on protecting the privacy of either the graph structure only or vertex attributes only, in this paper, we propose a novel mechanism for graph privacy preservation by considering attacks from both graph structures and vertex attributes, which transforms the original graph to a so-called kt-safe graph, via k-anonymity and t-closeness. We prove that the generation of a kt-safe graph is NP-hard, therefore, we propose a feasible framework for effectively and efficiently anonymizing a graph with low anonymization cost. In particular, we design a cost-model-based graph partitioning approach to enable our proposed divide-and-conquer strategy for the graph anonymization, and propose effective optimization techniques such as pruning method and a tree synopsis to improve the anonymization efficiency over large-scale graphs. Extensive experiments have been conducted to verify the efficiency and effectiveness of our proposed kt-safe graph generation approach on both real and synthetic data sets.  © 2022 IEEE.</t>
  </si>
  <si>
    <t>k-anonymity; t-closeness; Terms-kt-safety</t>
  </si>
  <si>
    <t>Wang S.; Wang Y.; Bai X.; Li D.</t>
  </si>
  <si>
    <t>https://www.scopus.com/inward/record.uri?eid=2-s2.0-85148431174&amp;doi=10.1109%2fJSAC.2023.3242708&amp;partnerID=40&amp;md5=63a7619d2ba46ab32c855203909a4801</t>
  </si>
  <si>
    <t>Distributed estimation of 6-DOF relative states, including three-dimensional relative poses and three-dimensional relative positions, is a key problem in UAV (Unmanned Aerial Vehicle) networks, which generally requires vision-involved iterative state estimation. How to achieve communication efficiency is a crucial challenge considering the large volume of vision data. This paper jointly considers the communication efficiency, latency, and accuracy for distributed relative state estimation involving vision data in UAV networks. The key is to solve a distributed graph optimization problem, which includes two key steps: (1) local graph construction and node state initialization in an initialization phase, and (2) iterative state update and communication with neighbors until convergence in online iteration phase. A communication efficient, Locating Then Informing (LTI) initialization scheme is proposed, which is run only once by each node to initialize each node's local graph and initial states. For online iteration, a RIPPLE-like distributed state iteration scheme is proposed. It inherits the advantages of traditional sequential and parallel methods while avoiding their drawbacks. It enables nodes' states to converge quickly using fewer rounds of communications. The communication costs for the initialization and online iteration processes are analyzed theoretically. Extensive evaluations use synthetic data generated by AirSim (a widely used UAV network simulation platform) and real-world data are presented. The results show that the proposed method provides accuracy comparable to the centralized graph optimization method and significantly outperforms the other distributed methods in terms of accuracy, communication cost, and latency. © 1983-2012 IEEE.</t>
  </si>
  <si>
    <t>Communication efficiency; distributed graph optimization; relative state estimation; UAV networks</t>
  </si>
  <si>
    <t>Sankaran P.; McConky K.; Sudit M.; Ortiz-Pena H.</t>
  </si>
  <si>
    <t>https://www.scopus.com/inward/record.uri?eid=2-s2.0-85137180072&amp;doi=10.1109%2fTNNLS.2022.3159671&amp;partnerID=40&amp;md5=9a096270d0fb5bebcf651f04b413abbb</t>
  </si>
  <si>
    <t>In this work, we present an attention-based encoder-decoder model to approximately solve the team orienteering problem with multiple depots (TOPMD). The TOPMD instance is an NP-hard combinatorial optimization problem that involves multiple agents (or autonomous vehicles) and not purely Euclidean (straight line distance) graph edge weights. In addition, to avoid tedious computations on dataset creation, we provide an approach to generate synthetic data on the fly for effectively training the model. Furthermore, to evaluate our proposed model, we conduct two experimental studies on the multi-agent reconnaissance mission planning problem formulated as TOPMD. First, we characterize the model based on the training configurations to understand the scalability of the proposed approach to unseen configurations. Second, we evaluate the solution quality of the model against several baselines - heuristics, competing machine learning (ML), and exact approaches, on several reconnaissance scenarios. The experimental results indicate that training the model with a maximum number of agents, a moderate number of targets (or nodes to visit), and moderate travel length, performs well across a variety of conditions. Furthermore, the results also reveal that the proposed approach offers a more tractable and higher quality (or competitive) solution in comparison with existing attention-based models, stochastic heuristic approach, and standard mixed-integer programming solver under the given experimental conditions. Finally, the different experimental evaluations reveal that the proposed data generation approach for training the model is highly effective.  © 2012 IEEE.</t>
  </si>
  <si>
    <t>Combinatorial optimization (CO) methods; graph attention models; machine learning (ML) algorithms; multiple autonomous vehicles; reinforcement learning</t>
  </si>
  <si>
    <t>Chen P.; Wang J.; Lin H.; Zhao D.; Yang Z.</t>
  </si>
  <si>
    <t>https://www.scopus.com/inward/record.uri?eid=2-s2.0-85169932389&amp;doi=10.1093%2fbioinformatics%2fbtad496&amp;partnerID=40&amp;md5=3d9fa839a061ccdc313944508faf515e</t>
  </si>
  <si>
    <t>Motivation: Few-shot learning that can effectively perform named entity recognition in low-resource scenarios has raised growing attention, but it has not been widely studied yet in the biomedical field. In contrast to high-resource domains, biomedical named entity recognition (BioNER) often encounters limited human-labeled data in real-world scenarios, leading to poor generalization performance when training only a few labeled instances. Recent approaches either leverage cross-domain high-resource data or fine-tune the pre-trained masked language model using limited labeled samples to generate new synthetic data, which is easily stuck in domain shift problems or yields low-quality synthetic data. Therefore, in this article, we study a more realistic scenario, i.e. few-shot learning for BioNER. Results: Leveraging the domain knowledge graph, we propose knowledge-guided instance generation for few-shot BioNER, which generates diverse and novel entities based on similar semantic relations of neighbor nodes. In addition, by introducing question prompt, we cast BioNER as question-answering task and propose prompt contrastive learning to improve the robustness of the model by measuring the mutual information between query-answer pairs. Extensive experiments conducted on various few-shot settings show that the proposed framework achieves superior performance. Particularly, in a low-resource scenario with only 20 samples, our approach substantially outperforms recent state-of-the-art models on four benchmark datasets, achieving an average improvement of up to 7.1% F1.  © The Author(s) 2023.</t>
  </si>
  <si>
    <t>Manibardo E.L.; Lana I.; Villar-Rodriguez E.; Ser J.D.</t>
  </si>
  <si>
    <t>A Graph-Based Methodology for the Sensorless Estimation of Road Traffic Profiles</t>
  </si>
  <si>
    <t>https://www.scopus.com/inward/record.uri?eid=2-s2.0-85147272187&amp;doi=10.1109%2fTITS.2023.3236489&amp;partnerID=40&amp;md5=9bf3cd2109c9358d5ad073ea102ef4d1</t>
  </si>
  <si>
    <t>Traffic forecasting models rely on data that needs to be sensed, processed, and stored. This requires the deployment and maintenance of traffic sensing infrastructure, often leading to unaffordable monetary costs. The lack of sensed locations can be complemented with synthetic data simulations that further lower the economical investment needed for traffic monitoring. One of the most common data generative approaches consists of producing real-like traffic patterns, according to data distributions from analogous roads. The process of detecting roads with similar traffic is the key point of these systems. However, without collecting data at the target location no flow metrics can be employed for this similarity-based search. We present a method to discover locations among those with available traffic data by inspecting topological features. These features are extracted from domain-specific knowledge as numerical representations (embeddings) to compare different locations and eventually find roads with analogous daily traffic profiles based on the similarity between embeddings. The performance of this novel selection system is examined and compared to simpler traffic estimation approaches. After finding a similar source of data, a generative method is used to synthesize traffic profiles. Depending on the resemblance of the traffic behavior at the sensed road, the generation method can be fed with data from one road only. Several generation approaches are analyzed in terms of the precision of the synthesized samples. Above all, this work intends to stimulate further research efforts towards enhancing the quality of synthetic traffic samples and thereby, reducing the need for sensing infrastructure.  © 2000-2011 IEEE.</t>
  </si>
  <si>
    <t>graph embeddings; Road traffic modeling; traffic data generation</t>
  </si>
  <si>
    <t>Boutin R.; Bouveyron C.; Latouche P.</t>
  </si>
  <si>
    <t>Embedded topics in the stochastic block model</t>
  </si>
  <si>
    <t>https://www.scopus.com/inward/record.uri?eid=2-s2.0-85163851073&amp;doi=10.1007%2fs11222-023-10265-9&amp;partnerID=40&amp;md5=81c9ec1ef578c866953a6880dcd64481</t>
  </si>
  <si>
    <t>Communication networks such as emails or social networks are now ubiquitous and their analysis has become a strategic field. In many applications, the goal is to automatically extract relevant information by looking at the nodes and their connections. Unfortunately, most of the existing methods focus on analysing the presence or absence of edges and textual data is often discarded. However, all communication networks actually come with textual data on the edges. In order to take into account this specificity, we consider in this paper networks for which two nodes are linked if and only if they share textual data. We introduce a deep latent variable model allowing embedded topics to be handled called ETSBM to simultaneously perform clustering on the nodes while modelling the topics used between the different clusters. ETSBM extends both the stochastic block model (SBM) and the embedded topic model (ETM) which are core models for studying networks and corpora, respectively. The inference is done using a variational-Bayes expectation-maximisation algorithm combined with a stochastic gradient descent. The methodology is evaluated on synthetic data and on a real world dataset. © 2023, The Author(s), under exclusive licence to Springer Science+Business Media, LLC, part of Springer Nature.</t>
  </si>
  <si>
    <t>Embedded topic model; Generative model; Graph clustering; Probabilistic model; Stochastic block model; Topic modelling; Variational inference</t>
  </si>
  <si>
    <t>Dirk R.; Fischer J.L.; Schardt S.; Ankenbrand M.J.; Fischer S.C.</t>
  </si>
  <si>
    <t>https://www.scopus.com/inward/record.uri?eid=2-s2.0-85175483922&amp;doi=10.1371%2fjournal.pcbi.1011582&amp;partnerID=40&amp;md5=25d8ac87720490b9c25966adf784aa98</t>
  </si>
  <si>
    <t>Cell lineage decisions occur in three-dimensional spatial patterns that are difficult to identify by eye. There is an ongoing effort to replicate such patterns using mathematical modeling. One approach uses long ranging cell-cell communication to replicate common spatial arrangements like checkerboard and engulfing patterns. In this model, the cell-cell communication has been implemented as a signal that disperses throughout the tissue. On the other hand, machine learning models have been developed for pattern recognition and pattern reconstruction tasks. We combined synthetic data generated by the mathematical model with spatial summary statistics and deep learning algorithms to recognize and reconstruct cell fate patterns in organoids of mouse embryonic stem cells. Application of Moran’s index and pair correlation functions for in vitro and synthetic data from the model showed local clustering and radial segregation. To assess the patterns as a whole, a graph neural network was developed and trained on synthetic data from the model. Application to in vitro data predicted a low signal dispersion value. To test this result, we implemented a multilayer perceptron for the prediction of a given cell fate based on the fates of the neighboring cells. The results show a 70% accuracy of cell fate imputation based on the nine nearest neighbors of a cell. Overall, our approach combines deep learning with mathematical modeling to link cell fate patterns with potential underlying mechanisms. Copyright: © 2023 Dirk et al. This is an open access article distributed under the terms of the Creative Commons Attribution License, which permits unrestricted use, distribution, and reproduction in any medium, provided the original author and source are credited.</t>
  </si>
  <si>
    <t>Zhang L.; Zhang Z.; Wang G.; Yuan Y.; Zhao S.; Xu J.</t>
  </si>
  <si>
    <t>HyperISO: Efficiently Searching Subgraph Containment in Hypergraphs</t>
  </si>
  <si>
    <t>https://www.scopus.com/inward/record.uri?eid=2-s2.0-85137938771&amp;doi=10.1109%2fTKDE.2022.3203856&amp;partnerID=40&amp;md5=a69bd6f19e38abc40651b3e4395ee5cb</t>
  </si>
  <si>
    <t>Searching subgraph containment, also called subgraph matching in hypergraphs, is to enumerate all the embeddings of a data hypergraph with a given query hypergraph, which plays an important role in the analysis of hypergraph-modeled applications. However, existing subgraph matching frameworks mainly focus on pairwise graphs and the existing techniques can not efficiently be applied to search subgraph containment at low costs. Therefore, this paper proposes HyperISO to efficiently search subgraph containment that consists of three parts: 1) new filtering techniques driven by exploring the properties and connections of hyperedges to reduce unpromising products for the sake of low matching costs, 2) a novel ordering strategy that is able to generate an optimized matching process by considering both the sizes of hyperedge candidates and the unmatched vertices of the hyperedges, and 3) a dual enumeration algorithm to list both the vertex and hyperedge mappings. Extensive experiments on both real and synthetic data show that HyperISO outperforms the best among the sophisticated subgraph matching frameworks and meanwhile verify the efficiency of HyperISO in various types of hypergraphs.  © 1989-2012 IEEE.</t>
  </si>
  <si>
    <t>Hypergraphs; searching subgraph containment; subgraph isomorphism</t>
  </si>
  <si>
    <t>Vasiliu L.A.; Roman D.; Prodan R.</t>
  </si>
  <si>
    <t>https://www.scopus.com/inward/record.uri?eid=2-s2.0-85158815462&amp;doi=10.1145%2f3578245.3585337&amp;partnerID=40&amp;md5=7f5c20e0b05360717f23ae26a5ed2588</t>
  </si>
  <si>
    <t>In this paper we present a case addressing the drawbacks of financial market data, its limited volumes, history, and sometimes the incomplete and erroneous datasets with variable quality, limited availability, and price barriers. The case aims to enable fast, semi-automated creation of realistic and affordable synthetic (extreme) financial datasets, unlimited in size and accessibility, ready to be commercialized. Peracton Ltd. intends to apply the resulting extreme financial data multiverse for testing and improving artificial intelligence (AI)-enhanced financial algorithms (e.g., using machine learning) focused on green investment and trading. Using synthetic data for testing financial algorithms removes critical biases, such as prior knowledge, overfitting, and indirect contamination due to real-world data scarcity, and ensures data completeness at an affordable cost. The availability of extreme (volumes) of synthetic data will consolidate further financial algorithms and provide a statistically relevant sample size for advanced back-testing. © 2023 Owner/Author.</t>
  </si>
  <si>
    <t>finance data generation; graph massivizer; graph processing; green finance; investment and trading</t>
  </si>
  <si>
    <t>Gorbett M.; Siebert C.; Shirazi H.; Ray I.</t>
  </si>
  <si>
    <t>The intrinsic dimensionality of network datasets and its applications</t>
  </si>
  <si>
    <t>https://www.scopus.com/inward/record.uri?eid=2-s2.0-85176772909&amp;doi=10.3233%2fJCS-220131&amp;partnerID=40&amp;md5=2cb2226fbc83cc9b0ae40b46ec7b41e4</t>
  </si>
  <si>
    <t>Modern network infrastructures are in a constant state of transformation, in large part due to the exponential growth of Internet of Things (IoT) devices. The unique properties of IoT-connected networks, such as heterogeneity and non-standardized protocol, have created critical security holes and network mismanagement. In this paper we propose a new measurement tool, Intrinsic Dimensionality (ID), to aid in analyzing and classifying network traffic. A proxy for dataset complexity, ID can be used to understand the network as a whole, aiding in tasks such as network management and provisioning. We use ID to evaluate several modern network datasets empirically. Showing that, for network and device-level data, generated using IoT methodologies, the ID of the data fits into a low dimensional representation. Additionally we explore network data complexity at the sample level using Local Intrinsic Dimensionality (LID) and propose a novel unsupervised intrusion detection technique, the Weighted Hamming LID Estimator. We show that the algortihm performs better on IoT network datasets than the Autoencoder, KNN, and Isolation Forests. Finally, we propose the use of synthetic data as an additional tool for both network data measurement as well as intrusion detection. Synthetically generated data can aid in building a more robust network dataset, while also helping in downstream tasks such as machine learning based intrusion detection models. We explore the effects of synthetic data on ID measurements, as well as its role in intrusion detection systems.  © 2023 - IOS Press. All rights reserved.</t>
  </si>
  <si>
    <t>anomaly detection; data complexity; Internet of things; intrinsic dimensionality; Intrusion detection; IoT</t>
  </si>
  <si>
    <t>Arora A.; Arora A.</t>
  </si>
  <si>
    <t>Machine learning models trained on synthetic datasets of multiple sample sizes for the use of predicting blood pressure from clinical data in a national dataset</t>
  </si>
  <si>
    <t>https://www.scopus.com/inward/record.uri?eid=2-s2.0-85150467982&amp;doi=10.1371%2fjournal.pone.0283094&amp;partnerID=40&amp;md5=0225a196b5f0a65ee27af1f7cf20c820</t>
  </si>
  <si>
    <t>Lee K.L.K.; Gonzales C.; Spellings M.; Galkin M.; Miret S.; Kumar N.</t>
  </si>
  <si>
    <t>Towards Foundation Models for Materials Science: The Open MatSci ML Toolkit</t>
  </si>
  <si>
    <t>https://www.scopus.com/inward/record.uri?eid=2-s2.0-85178108362&amp;doi=10.1145%2f3624062.3626081&amp;partnerID=40&amp;md5=a6731ac4aa70d3042c5b7a92f4e3d750</t>
  </si>
  <si>
    <t>Artificial intelligence and machine learning have shown great promise in their ability to accelerate novel materials discovery. As researchers and domain scientists seek to unify and consolidate chemical knowledge, the case for models with potential to generalize across different tasks within materials science - so-called "foundation models"- grows with ambitions. This manuscript reviews our recent progress with development of Open MatSci ML Toolkit, and details experiments that lay the groundwork for foundation model research and development with our framework. First, we describe and characterize a new pretraining task that uses synthetic data generated from symmetry operations, and reveal complex training dynamics at large scales. Using the pretrained model, we discuss a number of use cases relevant to foundation model development: semantic architecture of datasets, and fine-tuning for property prediction and classification. Our key results show that for simple applications, pretraining appears to provide worse modeling performance than training models from random initialization. However, for more complex instances, such as when a model is required to learn across multiple datasets and types of targets simultaneously, the inductive bias from pretraining provides significantly better performance. This insight will hopefully inform subsequent efforts into creating foundation models for materials science applications. © 2023 Owner/Author.</t>
  </si>
  <si>
    <t>chemistry; datasets; graph neural networks; materials science; neural networks; point clouds</t>
  </si>
  <si>
    <t>McBrearty I.W.; Beroza G.C.</t>
  </si>
  <si>
    <t>https://www.scopus.com/inward/record.uri?eid=2-s2.0-85151715538&amp;doi=10.1785%2f0120220182&amp;partnerID=40&amp;md5=9b98c056883660fc584fdf39940c0a3b</t>
  </si>
  <si>
    <t>Seismic phase association connects earthquake arrival-time measurements to their causative sources. Effective association must determine the number of discrete events, their location, and origin times, and it must differentiate real arrivals from measurement artifacts. The advent of deep-learning (DL) pickers, which provide high rates of picks from closely overlapping small-magnitude earthquakes, motivates revisiting the phase association problem and approaching it using the methods of DL. We have developed a graph neural network associator that simultaneously predicts both source space–time localization, and discrete source-arrival association likelihoods. The method is applicable to arbitrary geometry, time-varying seismic networks of hundreds of stations, and is robust to high rates of sources and input picks with variable noise and quality. Our Graph Earthquake Neural Interpretation Engine (GENIE) uses one graph to represent the station set and another to represent the spatial source region. GENIE learns relationships from data in this combined representation that enable it to determine robust source and source-arrival associations. We train on synthetic data, and test our method on real data from the northern California seismic network using input generated by the PhaseNet DL phase picker. We successfully re-detect ∼ 96% of all events M &gt; 1 reported by the U.S. Geological Survey (USGS) during 500 random days between 2000 and 2022. Over a 100-day continuous interval of processing in 2017–2018, we detect ∼ 4× the number of events reported by the USGS. Our new events have small-magnitude estimates below the magnitude of completeness of the USGS catalog, and are located close to the active faults and quarries in the region. Our results demonstrate that GENIE can effectively solve the association problem under complex seismic monitoring conditions. © Seismological Society of America.</t>
  </si>
  <si>
    <t>Barauskas A.; Brilingaitė A.; Bukauskas L.; Čeikutė V.; Čivilis A.; Šaltenis S.</t>
  </si>
  <si>
    <t>https://www.scopus.com/inward/record.uri?eid=2-s2.0-85146882146&amp;doi=10.1007%2fs10707-022-00485-y&amp;partnerID=40&amp;md5=820c930fff734bbd5a2f4d30c1bbfc41</t>
  </si>
  <si>
    <t>Advanced route planning algorithms are one of the key enabling technologies for emerging electric and autonomous mobility. Large realistic data sets are needed to test such algorithms under conditions that capture natural time-varying traffic patterns and corresponding travel-time and energy-use predictions. Further, the time-varying availability of charging infrastructure and vehicle-specific charging-power curves may be necessary to support advanced planning. While some data sets and synthetic data generators capture some of the aspects mentioned above, no integrated testbeds include all of them. We contribute with a modular testbed architecture. First, it includes a semi-synthetic data generator that uses a state-of-the-art traffic simulator, real traffic volume distribution patterns, EV-specific data, and elevation data. These elements support the generation of time-dependent travel-time and energy-use weights in a road-network graph. The generator ensures that the data satisfies the FIFO property, which is essential for time-dependent routing. Next, the testbed provides a thin layer of services that can serve as building blocks for future advanced routing algorithms. The experimental study demonstrates that the testbed can reproduce travel-time and energy-use patterns for long-distance trips similar to commercially available services. © 2023, The Author(s).</t>
  </si>
  <si>
    <t>Electric vehicle; Long-distance EV routing; Semi-synthetic data generation; Testbed; Time-dependent road network</t>
  </si>
  <si>
    <t>Yang W.; Chang W.; Song Z.; Niu F.; Wang X.; Zhang Y.</t>
  </si>
  <si>
    <t>Denoising odontocete echolocation clicks using a hybrid model with convolutional neural network and long short-term memory network</t>
  </si>
  <si>
    <t>https://www.scopus.com/inward/record.uri?eid=2-s2.0-85168216453&amp;doi=10.1121%2f10.0020560&amp;partnerID=40&amp;md5=43f87715416e6be72794f530166daa63</t>
  </si>
  <si>
    <t>Ocean noise negatively influences the recording of odontocete echolocation clicks. In this study, a hybrid model based on the convolutional neural network (CNN) and long short-term memory (LSTM) network—called a hybrid CNN-LSTM model—was proposed to denoise echolocation clicks. To learn the model parameters, the echolocation clicks were partially corrupted by adding ocean noise, and the model was trained to recover the original echolocation clicks. It can be difficult to collect large numbers of echolocation clicks free of ambient sea noise for training networks. Data augmentation and transfer learning were employed to address this problem. Based on Gabor functions, simulated echolocation clicks were generated to pre-train the network models, and the parameters of the networks were then fine-tuned using odontocete echolocation clicks. Finally, the performance of the proposed model was evaluated using synthetic data. The experimental results demonstrated the effectiveness of the proposed model for denoising two typical echolocation clicks—namely, narrowband high-frequency and broadband echolocation clicks. The denoising performance of hybrid models with the different number of convolution and LSTM layers was evaluated. Consequently, hybrid models with one convolutional layer and multiple LSTM layers are recommended, which can be adopted for denoising both types of echolocation clicks. © 2023 Acoustical Society of America.</t>
  </si>
  <si>
    <t>https://www.scopus.com/inward/record.uri?eid=2-s2.0-85190453752&amp;partnerID=40&amp;md5=52be93e7c415e7919e51bfe4ef3673bf</t>
  </si>
  <si>
    <t>Ismail E.; Gad W.; Hashem M.</t>
  </si>
  <si>
    <t>https://www.scopus.com/inward/record.uri?eid=2-s2.0-85173393402&amp;doi=10.1186%2fs12859-023-05501-y&amp;partnerID=40&amp;md5=67f1f36bae7c937c4c44a53e4ffd828d</t>
  </si>
  <si>
    <t>Boosting techniques; Ensemble learning; Gene ontology; Gene prediction; Gene similarity function; Stacking</t>
  </si>
  <si>
    <t>Scharfenberger J.; Funk B.</t>
  </si>
  <si>
    <t>Parsing Causal Models – An Instance Segmentation Approach</t>
  </si>
  <si>
    <t>https://www.scopus.com/inward/record.uri?eid=2-s2.0-85163957389&amp;doi=10.1007%2f978-3-031-34674-3_6&amp;partnerID=40&amp;md5=fc9563c576761998e718516eb2ceb1fa</t>
  </si>
  <si>
    <t>The steadily growing number of publications in the field of information systems as well as the confusion arising from the naming of theoretical concepts, complicate the process of literature reviewing. While several knowledge repositories and databases are developed to combat this issue, a considerable amount of manual effort to populate the databases is required. The information these tools seek to present is often compactly summarized in causal models with a graph-like structure (e.g., structural equation models). Our work aims to develop a graph parsing method that reduces the amount of manual effort required and thus builds a foundation towards an augmentation of knowledge extraction from causal models. We contribute to the ongoing efforts in developing graph parsing tools by proposing a novel instance segmentation-based approach that leverages a new method to generate annotated synthetic graph images. Our solution is evaluated on a dataset of 166 images of structural equation models and outperforms existing graph parsing approaches in this use case. © 2023, The Author(s), under exclusive license to Springer Nature Switzerland AG.</t>
  </si>
  <si>
    <t>Volokyta A.; Lipska V.</t>
  </si>
  <si>
    <t>Method of Automatic Depersonalization of Databases for Application in Machine Learning Problems</t>
  </si>
  <si>
    <t>https://www.scopus.com/inward/record.uri?eid=2-s2.0-85169054325&amp;doi=10.1007%2f978-3-031-36118-0_68&amp;partnerID=40&amp;md5=dff4f91094877b37517b8fb02eef6202</t>
  </si>
  <si>
    <t>The paper proposes a method of deanonymization of data based on the approach of building Bayesian models in combination with the synthetic creation of new instances of data by generative models built using directed graphs with weights for each vertex that guarantee correspondence to the initially calculated probabilities on the interval [0, 1], and on this basis, they construct synthesized artificial data with the boundaries of the projection or the curvature of the curve, according to the given functions. The importance of this task is related to the lack of possibility of using real personal data for building models and at the same time the need to preserve the nature of the data, taking into account the range of probabilities and the distortion/shift of the value curve in the industries in connection with the protection of personal data. The effectiveness and efficiency of using the proposed method was empirically confirmed, and the results are highlighted in this article with the provided metrics. © 2023, The Author(s), under exclusive license to Springer Nature Switzerland AG.</t>
  </si>
  <si>
    <t>Anonymization; Data; Depersonalization</t>
  </si>
  <si>
    <t>Rao J.; Gao S.; Zhu S.</t>
  </si>
  <si>
    <t>CATS: Conditional Adversarial Trajectory Synthesis for privacy-preserving trajectory data publication using deep learning approaches</t>
  </si>
  <si>
    <t>https://www.scopus.com/inward/record.uri?eid=2-s2.0-85173733954&amp;doi=10.1080%2f13658816.2023.2262550&amp;partnerID=40&amp;md5=c192e79ab35ff57c9409b95f4346176f</t>
  </si>
  <si>
    <t>The prevalence of ubiquitous location-aware devices and mobile Internet enables us to collect massive individual-level trajectory dataset from users. Such trajectory big data bring new opportunities to human mobility research but also raise public concerns with regard to location privacy. In this work, we present the Conditional Adversarial Trajectory Synthesis (CATS), a deep-learning-based GeoAI methodological framework for privacy-preserving trajectory data generation and publication. CATS applies K-anonymity to the underlying spatiotemporal distributions of human movements, which provides a distributional-level strong privacy guarantee. By leveraging conditional adversarial training on K-anonymized human mobility matrices, trajectory global context learning using the attention-based mechanism, and recurrent bipartite graph matching of adjacent trajectory points, CATS is able to reconstruct trajectory topology from conditionally sampled locations and generate high-quality individual-level synthetic trajectory data, which can serve as supplements or alternatives to raw data for privacy-preserving trajectory data publication. The experiment results on over 90k GPS trajectories show that our method has a better performance in privacy preservation, spatiotemporal characteristic preservation, and downstream utility compared with baseline methods, which brings new insights into privacy-preserving human mobility research using generative AI techniques and explores data ethics issues in GIScience. © 2023 Informa UK Limited, trading as Taylor &amp; Francis Group.</t>
  </si>
  <si>
    <t>generative adversarial network; GeoAI; Geoprivacy; human mobility; synthetic data generation</t>
  </si>
  <si>
    <t>Muramudalige S.R.; Jayasumana A.P.; Wang H.</t>
  </si>
  <si>
    <t>A Feature Mapping Technique for Complex Data Object Generation With Likelihood and Deep Generative Approaches</t>
  </si>
  <si>
    <t>https://www.scopus.com/inward/record.uri?eid=2-s2.0-85178027929&amp;doi=10.1109%2fACCESS.2023.3335375&amp;partnerID=40&amp;md5=8ac3b27cd3c83ebfd6705db7ffe2acc9</t>
  </si>
  <si>
    <t>When a sufficient amount of training data is available, Machine Learning (ML) models show great promise for solving problems involving complex and dynamic patterns. Social and behavioral domains are rich with such challenging problems, with complex object data extracted from documents, surveys, etc., and represented in forms such as graphs and trees. However, many social and behavioral data sets are inherently sparse and incomplete. The same data field may be unavailable in different records of a data set due to different causes, e.g., because it was not measured, not known, or simply not applicable to that particular record. Furthermore, collection challenges, cost, lack of participation, small affected populations, etc., result in very small sets of data. Resulting unconventional datasets cannot be directly used with potent approaches such as machine learning. A technique to model and synthesize large sets of such complex data objects while maintaining the same statistical and topological characteristics of original data helps overcome these challenges. We propose a novel feature mapping technique to eliminate data inconsistencies and model data objects from unconventional datasets. The feature-mapped data objects are used to synthesize data using two likelihood approaches, i.e., multi-variate Gaussian and regular vine copulas, and one generative adversarial approach using an adversarial autoencoder (AAE). We demonstrate the robustness of the proposed technique with three real-world datasets representing disparate domains and validate the performance of likelihood and deep-generative approaches with these object synthesis strategies. © 2013 IEEE.</t>
  </si>
  <si>
    <t>Adversarial autoencoder; copulas; generative adversarial networks; synthetic data generation</t>
  </si>
  <si>
    <t>Xu Y.; Yang L.; Zhu F.; Wang X.; Wang F.-Y.</t>
  </si>
  <si>
    <t>Parallel Reasoning Based on ACP Method for Power Grid Dispatching</t>
  </si>
  <si>
    <t>https://www.scopus.com/inward/record.uri?eid=2-s2.0-85187264755&amp;doi=10.1109%2fSMC53992.2023.10394535&amp;partnerID=40&amp;md5=374003e0dee2db65af67026d3d82e9b3</t>
  </si>
  <si>
    <t>Multi-source heterogeneous knowledge collaboration is the technical foundation for establishing a complete knowledge base. A parallel reasoning framework based on the ACP method is proposed to establish a complete knowledge base. The contribution of this framework is three-fold. First, it provides a virtual experimental platform for generating the artificial data needed for missing knowledge extraction by constructing an artificial system. Second, it generates artificial big data and organizes it into a knowledge graph to achieve structured representation and storage of system control knowledge by carrying out calculation experiments related to missing scene knowledge. Finally, it achieves unbiased application and update of knowledge through parallel execution, completing the optimization and control of the actual system. Parallel reasoning provides an effective technical means for multi-source knowledge collaboration and provides strong support for building knowledge-enhanced complex system control systems. The effectiveness of parallel reasoning is verified through experiments.  © 2023 IEEE.</t>
  </si>
  <si>
    <t>Sheng J.</t>
  </si>
  <si>
    <t>An Augmentable Domain-specific Models for Financial Analysis</t>
  </si>
  <si>
    <t>https://www.scopus.com/inward/record.uri?eid=2-s2.0-85183315038&amp;doi=10.1109%2fCISP-BMEI60920.2023.10373245&amp;partnerID=40&amp;md5=56b43bcf9f0e6b428eadab39e6baf2ec</t>
  </si>
  <si>
    <t>Large-scale language models such as GPT-4 have revolutionized data analysis and interpretation by generating human-like text, automating insights, and detecting data errors. Large-scale language models have been applied in various fields and played an important role in many aspects. Large language models can also perform financial and technical analysis by cleaning data, generating synthetic data, handling bias, and supporting natural language queries. This paper proposes a language model that integrates multimodal data with external knowledge bases and domain-specific data, enhancing its reasoning ability by extending domain-specific data. Reduce hallucinations and fine-tune domain-specific data by incorporating external knowledge bases to deepen model understanding of industry-specific language, concepts, and context. And technologies such as knowledge graph, attention mechanism, cross-modal embedding and federated collaborative training are used to deal with the challenges of different structures and semantics of multi-modal data. The model also employs a feedback loop mechanism to allow the model to adapt to changing conditions, such as changing languages or new domain information. Experimental results show that the proposed model has a preliminary domain-specific ability to analyze and predict multimodal financial and technical data. © 2023 IEEE.</t>
  </si>
  <si>
    <t>domain-specific data; external knowledge; financial and technical analysis; knowledge graph; Large-scale language models</t>
  </si>
  <si>
    <t>Duan Y.; Liu X.; Jatowt A.; Yu H.-T.; Lynden S.; Kim K.-S.; Matono A.</t>
  </si>
  <si>
    <t>Anonymity can Help Minority: A Novel Synthetic Data Over-Sampling Strategy on Multi-label Graphs</t>
  </si>
  <si>
    <t>https://www.scopus.com/inward/record.uri?eid=2-s2.0-85151053617&amp;doi=10.1007%2f978-3-031-26390-3_2&amp;partnerID=40&amp;md5=65a486111fdbe1c96d9b3e136b990c2a</t>
  </si>
  <si>
    <t>In many real-world networks (e.g., social networks), nodes are associated with multiple labels and node classes are imbalanced, that is, some classes have significantly fewer samples than others. However, the research problem of imbalanced multi-label graph node classification remains unexplored. This non-trivial task challenges existing graph neural networks (GNNs) because the majority class could dominate the loss functions of GNNs and result in overfitting to those majority class features and label correlations. On non-graph data, minority over-sampling methods (such as SMOTE and its variants) have been demonstrated to be effective for the imbalanced data classification problem. This study proposes and validates a new hypothesis with unlabeled data oversampling, which is meaningless for imbalanced non-graph data; however, feature propagation and topological interplay mechanisms between graph nodes can facilitate representation learning of imbalanced graphs. Furthermore, we determine empirically that ensemble data synthesis through the creation of virtual minority samples in the central region of a minority, and the generation of virtual unlabeled samples in the boundary region between a minority and majority is the best practice for the imbalanced multi-label graph node classification task. Our proposed novel data over-sampling framework is evaluated using multiple real-word network datasets, and it outperforms diverse, strong benchmark models by a large margin. © 2023, The Author(s), under exclusive license to Springer Nature Switzerland AG.</t>
  </si>
  <si>
    <t>Data over-sampling; Generative adversarial network; Graph representation learning; Imbalanced learning</t>
  </si>
  <si>
    <t>Kikuchi G.</t>
  </si>
  <si>
    <t>Differentiable Causal Discovery Under Heteroscedastic Noise</t>
  </si>
  <si>
    <t>https://www.scopus.com/inward/record.uri?eid=2-s2.0-85161324505&amp;doi=10.1007%2f978-3-031-30105-6_24&amp;partnerID=40&amp;md5=951748a73b2a3bb5ae27e4bd885f22e3</t>
  </si>
  <si>
    <t>We consider the problem of estimating directed acyclic graphs from observational data. Many studies on functional causal models assume the independence of noise terms. Thus, they suffer from the typical violation of model assumption: heteroscedasticity. Several recent studies have assumed heteroscedastic noise instead of additive noise in data generation, though most of the estimation algorithms are for bivariate data. This study aims to improve the capability of continuous optimization-based methods so that they can handle heteroscedastic noise under multivariate non-linear data with no latent confounders. Numerical experiments on synthetic data and fMRI simulation data show that our estimation algorithm improves the estimation of the causal structure under heteroscedastic noise. We also applied our estimation algorithm to real-world data collected from a ceramic substrate manufacturing process, and the results prove the possibility of using the estimated causal graph to accelerate quality improvement. © 2023, The Author(s), under exclusive license to Springer Nature Switzerland AG.</t>
  </si>
  <si>
    <t>Bayesian networks; Causal discovery; Continuous optimization; Heteroscedasticity; Structural equation models</t>
  </si>
  <si>
    <t>30th Irish Conference on Artificial Intelligence and Cognitive Science, AICS 2022</t>
  </si>
  <si>
    <t>https://www.scopus.com/inward/record.uri?eid=2-s2.0-85149925036&amp;partnerID=40&amp;md5=8e072e32fc3a396ff69437d0233e460c</t>
  </si>
  <si>
    <t>Yang S.; Fountoulakis K.</t>
  </si>
  <si>
    <t>Weighted Flow Diffusion for Local Graph Clustering with Node Attributes: an Algorithm and Statistical Guarantees</t>
  </si>
  <si>
    <t>https://www.scopus.com/inward/record.uri?eid=2-s2.0-85174420024&amp;partnerID=40&amp;md5=059e72371bbe1c537b20997d072aac56</t>
  </si>
  <si>
    <t>Local graph clustering methods aim to detect small clusters in very large graphs without the need to process the whole graph. They are fundamental and scalable tools for a wide range of tasks such as local community detection, node ranking and node embedding. While prior work on local graph clustering mainly focuses on graphs without node attributes, modern real-world graph datasets typically come with node attributes that provide valuable additional information. We present a simple local graph clustering algorithm for graphs with node attributes, based on the idea of diffusing mass locally in the graph while accounting for both structural and attribute proximities. Using high-dimensional concentration results, we provide statistical guarantees on the performance of the algorithm for the recovery of a target cluster with a single seed node. We give conditions under which a target cluster generated from a fairly general contextual random graph model, which includes both the stochastic block model and the planted cluster model as special cases, can be fully recovered with bounded false positives. Empirically, we validate all theoretical claims using synthetic data, and we show that incorporating node attributes leads to superior local clustering performances using real-world graph datasets. © 2023 Proceedings of Machine Learning Research. All rights reserved.</t>
  </si>
  <si>
    <t>https://www.scopus.com/inward/record.uri?eid=2-s2.0-85182001834&amp;partnerID=40&amp;md5=2617b7c03773fad63d841879568d3308</t>
  </si>
  <si>
    <t>18th EAI International Conference on Security and Privacy in Communication Networks, SecureComm 2022</t>
  </si>
  <si>
    <t>https://www.scopus.com/inward/record.uri?eid=2-s2.0-85148034063&amp;partnerID=40&amp;md5=69c46346a1bef186bca54374e0165caa</t>
  </si>
  <si>
    <t>Al Amin M.A.R.; Shetty S.; Formicola V.; Otto M.</t>
  </si>
  <si>
    <t>Assessing the Quality of Differentially Private Synthetic Data for Intrusion Detection</t>
  </si>
  <si>
    <t>https://www.scopus.com/inward/record.uri?eid=2-s2.0-85148043997&amp;doi=10.1007%2f978-3-031-25538-0_25&amp;partnerID=40&amp;md5=d70fd0cf722782430e83fa5073eb7383</t>
  </si>
  <si>
    <t>Supervised learning is effectively adopted in Network Intrusion Detection Systems (IDS) to detect malicious activities in Information Technology (IT) and Operation Technology (OT). Sharing high-quality network data among cyber-security practitioners increases the chance of detecting new threat campaigns by analyzing updated traffic features. As data sharing brings privacy concerns, Differential-Privacy (DP) has emerged as a promising approach to performing privacy-preserving analytics. This paper presents an approach to generating high-quality synthetic network features using a differentially private Generative Adversarial Network (DP-GAN) based on the DoppleGANger https://github.com/fjxmlzn/DoppelGANger toolset. We assess the classification performance of several machine learning (ML) models on a privacy-preserved synthetic dataset derived from the NSL-KDD intrusion dataset. Experiments show ML algorithms achieve high classification accuracy on the synthetic data (95.95 % ) with a low privacy budget (ε= 6.73 ), i.e., low success rates for membership inference attacks. Hence, DP-GAN models offer a promising tool for sharing traffic features with bounded loss of privacy. © 2023, ICST Institute for Computer Sciences, Social Informatics and Telecommunications Engineering.</t>
  </si>
  <si>
    <t>Data sharing; Differential privacy; Generative adversarial networks; Intrusion detection system</t>
  </si>
  <si>
    <t>Wu R.; Chen S.-E.; Zhang J.; Chu X.</t>
  </si>
  <si>
    <t>LEARNING HYPER LABEL MODEL FOR PROGRAMMATIC WEAK SUPERVISION</t>
  </si>
  <si>
    <t>https://www.scopus.com/inward/record.uri?eid=2-s2.0-85187935225&amp;partnerID=40&amp;md5=662bd73dbb27d174e67326686708cdb9</t>
  </si>
  <si>
    <t>To reduce the human annotation efforts, the programmatic weak supervision (PWS) paradigm abstracts weak supervision sources as labeling functions (LFs) and involves a label model to aggregate the output of multiple LFs to produce training labels. Most existing label models require a parameter learning step for each dataset. In this work, we present a hyper label model that (once learned) infers the ground-truth labels for each dataset in a single forward pass without dataset-specific parameter learning. The hyper label model approximates an optimal analytical (yet computationally intractable) solution of the ground-truth labels. We train the model on synthetic data generated in the way that ensures the model approximates the analytical optimal solution, and build the model upon Graph Neural Network (GNN) to ensure the model prediction being invariant (or equivariant) to the permutation of LFs (or data points). On 14 real-world datasets, our hyper label model outperforms the best existing methods in both accuracy (by 1.4 points on average) and efficiency (by six times on average). Our code is available at https://github.com/wurenzhi/hyper label model. © 2023 11th International Conference on Learning Representations, ICLR 2023. All rights reserved.</t>
  </si>
  <si>
    <t>Momeni A.; Chauhan V.; Bin Mahmoud A.; Piratla K.R.; Safro I.</t>
  </si>
  <si>
    <t>https://www.scopus.com/inward/record.uri?eid=2-s2.0-85144156948&amp;doi=10.1061%2fJPSEA2.PSENG-1358&amp;partnerID=40&amp;md5=34d995c0e81f609872d573cd35f93c5b</t>
  </si>
  <si>
    <t>Rare or limited access to real-world data has widely been a stumbling block for the development and employment of design optimization and simulation models in water distribution systems (WDS). Primary reasons for such accessibility issues could include data unavailability and high security protocols. Synthetic data can play a major role as a reliable alternative to mimic and replicate real-world WDS for modeling purposes. This study puts forth a comprehensive approach to generate synthetic WDS infrastructural data by (1) employing graph-theory concepts to generate multitudinous WDS skeleton layouts through retaining the critical topological features of a given real WDS; and (2) assigning component sizes and operational features such as nodal demands, pump curves, pipe sizes, and tank elevations to the generated WDS skeleton layouts through a multiobjective genetic algorithm (GA)-based design optimization scheme. Thousands of such generated-optimized networks are statistically analyzed in terms of the fundamental WDS characteristics both collectively and granularly. An outstanding novelty in this study includes an automatedly integrated algorithmic function that attempts to (1) simultaneously optimize the generated network in a biobjective scheme, (2) rectify pipe intersections that violate pipeline embedding standards, and (3) correct the unusual triangular loops in the generator by honoring the conventional square-shaped loop connectivity in a WDS. The proposed modeling approach was demonstrated in this study using the popular Anytown water distribution benchmark system. Generation and optimization of such representative synthetic networks pave the way for extensive access to representative case-study models for academic and industrial purposes while the security of the real-world infrastructure data is not compromised. © 2022 American Society of Civil Engineers.</t>
  </si>
  <si>
    <t>Graph generation; Graph theory; Infrastructural data; Multiscale method; Optimization; Synthetic networks; Water distribution systems (WDS)</t>
  </si>
  <si>
    <t>Saka S.; Al-Ataby A.; Selis V.</t>
  </si>
  <si>
    <t>Generating Synthetic Tabular Data for DDoS Detection Using Generative Models</t>
  </si>
  <si>
    <t>https://www.scopus.com/inward/record.uri?eid=2-s2.0-85195470684&amp;doi=10.1109%2fTrustCom60117.2023.00196&amp;partnerID=40&amp;md5=f7ca117eac8dc0b27d8796e9148f31f1</t>
  </si>
  <si>
    <t>CIC-DDoS2019 Dataset; Generative Networks; Intrusion Detection Systems; Tabular Data Generation</t>
  </si>
  <si>
    <t>Chung J.; Varjavand B.; Arroyo-Relión J.; Alyakin A.; Agterberg J.; Tang M.; Priebe C.E.; Vogelstein J.T.</t>
  </si>
  <si>
    <t>https://www.scopus.com/inward/record.uri?eid=2-s2.0-85136519068&amp;doi=10.1002%2fsta4.429&amp;partnerID=40&amp;md5=08e40574289448e2b8ee865ea721075b</t>
  </si>
  <si>
    <t>Testing whether two graphs come from the same distribution is of interest in many real-world scenarios, including brain network analysis. Under the random dot product graph model, the nonparametric hypothesis testing framework consists of embedding the graphs using the adjacency spectral embedding (ASE), followed by aligning the embeddings using the median flip heuristic and finally applying the nonparametric maximum mean discrepancy (MMD) test to obtain a p value. Using synthetic data generated from Drosophila brain networks, we show that the median flip heuristic results in an invalid test and demonstrate that optimal transport Procrustes (OTP) for alignment resolves the invalidity. We further demonstrate that substituting the MMD test with the multiscale graph correlation (MGC) test leads to a more powerful test both in synthetic and in simulated data. Lastly, we apply this powerful test to the right and left hemispheres of the larval Drosophila mushroom body brain networks and conclude that there is not sufficient evidence to reject the null hypothesis that the two hemispheres are equally distributed. © 2021 John Wiley &amp; Sons, Ltd.</t>
  </si>
  <si>
    <t>Dowrick T.; Chen L.; Ramalhinho J.; Puyal J.G.-B.; Clarkson M.J.</t>
  </si>
  <si>
    <t>Procedurally Generated Colonoscopy and Laparoscopy Data for Improved Model Training Performance</t>
  </si>
  <si>
    <t>https://www.scopus.com/inward/record.uri?eid=2-s2.0-85174622583&amp;doi=10.1007%2f978-3-031-44992-5_7&amp;partnerID=40&amp;md5=21d748eb4fb109596903da1ea6882267</t>
  </si>
  <si>
    <t>The use of synthetic/simulated data can greatly improve model training performance, especially in areas such as image guided surgery, where real training data can be difficult to obtain, or of limited size. Procedural generation of data allows for large datasets to be rapidly generated and automatically labelled, while also randomising relevant parameters within the simulation to provide a wide variation in models and textures used in the scene. A method for procedural generation of both textures and geometry for IGS data is presented, using Blender Shader Graphs and Geometry Nodes, with synthetic datasets used to pre-train models for polyp detection (YoloV7) and organ segmentation (UNet), with performance evaluated on open-source datasets. Pre-training models with synthetic data significantly improves both model performance and generalisability (i.e. performance when evaluated on other datasets). Mean DICE score across all models for liver segmentation increased by 15% (p=0.02) after pre-training on synthetic data. For polyp detection, Precision increased by 11% (p=0.002), Recall by 9% (p=0.01), mAP@.5 by 10% (p=0.01) and mAP@[.5:95] by 8% (p-0.003). All synthetic data, as well as examples of different Shader Graph/Geometry Node operations can be downloaded at https://doi.org/10.5522/04/23843904. © 2023, The Author(s), under exclusive license to Springer Nature Switzerland AG.</t>
  </si>
  <si>
    <t>Data Engineering; Image Guided Surgery; Simulation</t>
  </si>
  <si>
    <t>Nguyen N.-T.; Le T.-N.; Le-Minh K.-H.; Le K.-H.</t>
  </si>
  <si>
    <t>https://www.scopus.com/inward/record.uri?eid=2-s2.0-85149171676&amp;doi=10.1109%2fICOIN56518.2023.10048962&amp;partnerID=40&amp;md5=eae79f1c91b6b2490709785f400b7498</t>
  </si>
  <si>
    <t>We have witnessed the proliferation of machine learning and its applications, especially in network-based intrusion detection systems (NIDS). With the ability to learn complex informative systems from data, machine learning models play a crucial role in identifying and preventing network attacks. However, training these models requires a massive volume of labeled data, which is nontrivial to obtain. Moreover, public datasets are often unbalanced, outdated, and different with network traffic from the networks that need to be protected. Therefore, in this paper, we introduce a framework, namely DGIDS, for generating semi-synthetic datasets for NIDS, which combines synthetic data and regular network traffic collected from the local network. Our proposed framework is capable of producing both benign and attack network data with characteristics similar to those in real scenarios. In practical experiments, we show that the network data generated by DGIDS significantly increase the detection quality of NIDS trained by public datasets from 54% to 90.39%. © 2023 IEEE.</t>
  </si>
  <si>
    <t>generative adversarial networks; Intrusion detection system; synthetic data generation</t>
  </si>
  <si>
    <t>Sen Ö.; Malskorn P.; Glomb S.; Hacker I.; Henze M.; Ulbig A.</t>
  </si>
  <si>
    <t>https://www.scopus.com/inward/record.uri?eid=2-s2.0-85169445088&amp;doi=10.1109%2fPowerTech55446.2023.10202747&amp;partnerID=40&amp;md5=9cb8412f556d13d488d517583e01d530</t>
  </si>
  <si>
    <t>Power grids are becoming more digitized, resulting in new opportunities for the grid operation but also new chal-lenges, such as new threats from the cyber-domain. To address these challenges, cybersecurity solutions are being considered in the form of preventive, detective, and reactive measures. Machine learning-based intrusion detection systems are used as part of detection efforts to detect and defend against cyberattacks. However, training and testing data for these systems are often not available or suitable for use in machine learning models for detecting multi-stage cyberattacks in smart grids. In this paper, we propose a method to generate synthetic data using a graph-based approach for training machine learning models in smart grids. We use an abstract form of multi-stage cyberattacks defined via graph formulations and simulate the propagation behavior of attacks in the network. Within the selected scenarios, we observed promising results, but a larger number of scenarios need to be studied to draw a more informed conclusion about the suitability of synthesized data. © 2023 IEEE.</t>
  </si>
  <si>
    <t>Cyberattacks; Intrusion Detection; Knowledge Graphs; Machine Learning; Smart Grid</t>
  </si>
  <si>
    <t>Jaiswal S.; Gupta P.</t>
  </si>
  <si>
    <t>GLSTM: A novel approach for prediction of real &amp; synthetic PID diabetes data using GANs and LSTM classification model</t>
  </si>
  <si>
    <t>https://www.scopus.com/inward/record.uri?eid=2-s2.0-85158121961&amp;doi=10.52756%2fijerr.2023.v30.004&amp;partnerID=40&amp;md5=1e4118f844568cffd3b4f3dd375a92c5</t>
  </si>
  <si>
    <t>Generative Adversarial Network (GAN) is a revolution in modern artificial systems. Deep learning-based Generative adversarial networks generate realistic synthetic tabular data. Synthetic data are used to enhance the size of a relatively small training dataset while ensuring the confidentiality of the original data. In this context, we implemented the GAN framework for generating diabetes data to help the health care professional in more clinical applications. GAN is used to validate the Pima Indian Diabetes (PID) Dataset. Various preprocessing techniques, such as handling missing values, outliers and data imbalance problems, enhance data quality. Some exploratory data analyses, such as heat maps, bar graphs and histograms, are used for data visualisation. We employed hypothesis testing to examine the resemblance between real data and GAN-generated synthetic data. In this study, we proposed a GAN-Long Short-Term Memory (GLSTM) system, in which GAN is used for data augmentation, and LSTM is used for diabetes classification. Additionally, various GAN models such as CTGAN, Vanilla GAN, Coupula GAN, Gaussian Coupula GAN, and TVAE GAN are used to generate the synthetic dataset. Experiments were conducted on real data, synthetic data, and by combining real and synthetic data. The model that used both real and synthetic data obtained a substantially better accuracy of 97% compared to 92% when only real data was used. We also observed that synthetic data could be used in place of real data, as the mean correlation between synthetic and real data is 0.93. Our study's findings outperformed when compared to state-of-the-art methodologies. © The Author(s) 2023.</t>
  </si>
  <si>
    <t>GAN; GLSTM; ML; PID; TVAE</t>
  </si>
  <si>
    <t>Zhu Z.; Ma J.; Zhang C.</t>
  </si>
  <si>
    <t>https://www.scopus.com/inward/record.uri?eid=2-s2.0-85176291413&amp;doi=10.1142%2fS021951942340095X&amp;partnerID=40&amp;md5=35abb3a3b507bf658b8d2de7803a299b</t>
  </si>
  <si>
    <t>Diffusion magnetic resonance imaging (dMRI) is an essential technique for studying brain white matter. However, its application suffers from the tradeoff between resolution, signal-to-noise ratio (SNR), and scanning time. Under a given setting, post-acquisition super-resolution (SR) has displayed the exciting performance of increasing the spatial or angular resolution of dMRI without prolonging the acquisition time. dMRI is acquired from a heterogeneous space composed of the spatial domain (x-space) and the diffusion wave vector domain (q-space). We introduced a graph convolution neural network (GCNN) to fit the mapping from low-resolution (LR) dMRI to high-resolution (HR) counterpart by jointly considering x-space and q-space to make an effective learning in this non-Euclidean space to increase the spatial resolution. Real brain dMRI data were downloaded from the Human Connectome Project (HCP). Comparisons were made between different spaces, including x-space, q-space, and xq-space. The results indicated that the best performance was obtained when two spaces were considered jointly using GCNN. Compared with the traditional methods, our network fully used spatio-angular information to improve the quality of dMRI SR. Furthermore, some feature metrics, including fractional anisotropic mapping, fiber orientation distribution (FOD), and fiber tractography, were presented to support the improvement. The cross-phantom test on synthetic data generated by the Phantomas tool was performed to further evaluate our model. Extended experiments revealed that GCNN might serve as a new way of enhancing dMRI. © The Author(s)</t>
  </si>
  <si>
    <t>Han K.; Gardent C.</t>
  </si>
  <si>
    <t>Multilingual Generation and Answering of Questions from Texts and Knowledge Graphs</t>
  </si>
  <si>
    <t>https://www.scopus.com/inward/record.uri?eid=2-s2.0-85183301185&amp;partnerID=40&amp;md5=c3c71c28ee87ed8ff5a22404de019ce6</t>
  </si>
  <si>
    <t>The ability to bridge Question Generation (QG) and Question Answering (QA) across structured and unstructured modalities has the potential for aiding different NLP applications. One key application is in QA-based methods that have recently been shown to be useful for automatically evaluating Natural Language (NL) texts generated from Knowledge Graphs (KG). While methods have been proposed for QG-QA across these modalities, these efforts have been in English only; in this work, we bring multilinguality (Brazilian Portuguese and Russian) to multimodal (KG and NL) QG-QA. Using synthetic data generation and machine translation to produce QG-QA data that is aligned between graph and text, we are able to train multimodal, multi-task models that can perform multimodal QG and QA in Portuguese and Russian. We show that our approach outperforms a baseline which is derived from previous work on English and adapted to handle these two languages. Our code, data and models are available at https://gitlab.inria.fr/hankelvin/multlingual_kg-text_qgqa. © 2023 Association for Computational Linguistics.</t>
  </si>
  <si>
    <t>Morin L.; Danelljan M.; Agea M.I.; Nassar A.; Weber V.; Meijer I.; Staar P.; Yu F.</t>
  </si>
  <si>
    <t>https://www.scopus.com/inward/record.uri?eid=2-s2.0-85185872115&amp;doi=10.1109%2fICCV51070.2023.01791&amp;partnerID=40&amp;md5=044a7dadb57d6cd43b0a9fe6796d89ea</t>
  </si>
  <si>
    <t>The automatic analysis of chemical literature has immense potential to accelerate the discovery of new materials and drugs. Much of the critical information in patent documents and scientific articles is contained in figures, depicting the molecule structures. However, automatically parsing the exact chemical structure is a formidable challenge, due to the amount of detailed information, the diversity of drawing styles, and the need for training data. In this work, we introduce MolGrapher to recognize chemical structures visually. First, a deep keypoint detector detects the atoms. Second, we treat all candidate atoms and bonds as nodes and put them in a graph. This construct allows a natural graph representation of the molecule. Last, we classify atom and bond nodes in the graph with a Graph Neural Network. To address the lack of real training data, we propose a synthetic data generation pipeline producing diverse and realistic results. In addition, we introduce a large-scale benchmark of annotated real molecule images, USPTO-30K, to spur research on this critical topic. Extensive experiments on five datasets show that our approach significantly outperforms classical and learning-based methods in most settings. Code, models, and datasets are available 1 © 2023 IEEE.</t>
  </si>
  <si>
    <t>https://www.scopus.com/inward/record.uri?eid=2-s2.0-85184959909&amp;partnerID=40&amp;md5=67e5e363a4dff4ed9275356d744dfeb6</t>
  </si>
  <si>
    <t>https://www.scopus.com/inward/record.uri?eid=2-s2.0-85182775218&amp;partnerID=40&amp;md5=4b02047678e0131d89f1764b6d65786a</t>
  </si>
  <si>
    <t>4th International Workshop of Advances in Simplifying Medical Ultrasound, ASMUS 2023</t>
  </si>
  <si>
    <t>https://www.scopus.com/inward/record.uri?eid=2-s2.0-85174715887&amp;partnerID=40&amp;md5=837966b9afa4864b74420f014259d519</t>
  </si>
  <si>
    <t>The proceedings contain 19 papers. The special focus in this conference is on InternationalWorkshop of Advances in Simplifying Medical Ultrasound. The topics include: HoloPOCUS: Portable Mixed-Reality 3D Ultrasound Tracking, Reconstruction and Overlay; MIC-CUSP: Multimodal Image Correlations for Ultrasound-Based Prostate Cancer Detection; GAJA - Guided self-Acquisition of Joint ultrAsound images; privileged Anatomical and Protocol Discrimination in Trackerless 3D Ultrasound Reconstruction; the Open Kidney Ultrasound Data Set; Anatomical Landmark Detection for Initializing US and MR Image Registration; can Ultrasound Confidence Maps Predict Sonographers’ Labeling Variability?; multi-task Learning for Hierarchically-Structured Images: Study on Echocardiogram View Classification; temporally Consistent Segmentations from Sparsely Labeled Echocardiograms Using Image Registration for Pseudo-labels Generation; an Automatic Guidance and Quality Assessment System for Doppler Imaging of Umbilical Artery; SonoSAM - Segment Anything on Ultrasound Images; echo from Noise: Synthetic Ultrasound Image Generation Using Diffusion Models for Real Image Segmentation; graph Convolutional Neural Networks for Automated Echocardiography View Recognition: A Holistic Approach; leveraging Shape and Spatial Information for Spontaneous Preterm Birth Prediction; leveraging Self-supervised Learning for Fetal Cardiac Planes Classification Using Ultrasound Scan Videos; self-Supervised Learning to More Efficiently Generate Segmentation Masks for Wrist Ultrasound; synthetic Boost: Leveraging Synthetic Data for Enhanced Vision-Language Segmentation in Echocardiography.</t>
  </si>
  <si>
    <t>Xu K.; Ganev G.; Joubert E.; Davison R.; Van Acker O.; Robinson L.</t>
  </si>
  <si>
    <t>SYNTHETIC DATA GENERATION OF MANY-TO-MANY DATASETS VIA RANDOM GRAPH GENERATION</t>
  </si>
  <si>
    <t>https://www.scopus.com/inward/record.uri?eid=2-s2.0-85165570813&amp;partnerID=40&amp;md5=990a7872bf1680d1d43392bf96c99a19</t>
  </si>
  <si>
    <t>Synthetic data generation (SDG) has become a popular approach to release private datasets. In SDG, a generative model is fitted on the private real data, and samples drawn from the model are released as the protected synthetic data. While real-world datasets usually consist of multiple tables with potential many-to-many relationships (i.e. many-to-many datasets), recent research in SDG mostly focuses on modeling tables independently or only considers generating datasets with special cases of many-to-many relationships such as one-to-many. In this paper, we first study challenges of building faithful generative models for many-to-many datasets, identifying limitations of existing methods. We then present a novel factorization for many-to-many generative models, which leads to a scalable generation framework by combining recent results from random graph theory and representation learning. Finally, we extend the framework to establish the notion of (ϵ, δ)-differential privacy. Through a real-world dataset, we demonstrate that our method can generate synthetic datasets while preserving information within and across tables better than its closest competitor. © 2023 11th International Conference on Learning Representations, ICLR 2023. All rights reserved.</t>
  </si>
  <si>
    <t>Jin D.; Yang B.</t>
  </si>
  <si>
    <t>https://www.scopus.com/inward/record.uri?eid=2-s2.0-85168656792&amp;doi=10.1109%2fJSTARS.2023.3308037&amp;partnerID=40&amp;md5=1f20c0fc177dd3128529d2f2f853e881</t>
  </si>
  <si>
    <t>Hyperspectral unmixing has received increasing attention as a technique for estimating endmember spectra and fractional abundances of land covers. Encoding high-dimensional hyperspectral data into a low-dimensional latent space to generate reasonable abundances, autoencoder (AE) has shown its great potential and attractive advantages in spectral unmixing. AEs decode abundances back to spectra, which can effectively reflect the general spectral mixing process. However, most existing AE-based unmixing methods often do not fully exploit the spatial information of hyperspectral images, hindering the improvement of unmixing accuracy. This article proposes a graph attention convolutional autoencoder architecture for hyperspectral unmixing. By incorporating graph attention convolution into AE, the proposed method performs better in leveraging both long-range and short-range spatial information of hyperspectral images. Accurate abundances with global and local spatial consistency can be efficiently learned by the network. Moreover, the decoder is further improved based on the postpolynomial nonlinear mixing model to make the network have stronger physical interpretability to deal with the issue of nonlinear blind unmixing. Experimental results indicate that the proposed method has good unmixing performance. It can reduce the root mean squared error of estimated abundances for synthetic data by over 10% compared to other methods. In experiments with real hyperspectral data, the difference between its unmixing results' accuracy and the best is less than 5%.  © 2008-2012 IEEE.</t>
  </si>
  <si>
    <t>Azzolin S.; Longa A.; Barbiero P.; Liò P.; Passerini A.</t>
  </si>
  <si>
    <t>GLOBAL EXPLAINABILITY OF GNNS VIA LOGIC COMBINATION OF LEARNED CONCEPTS</t>
  </si>
  <si>
    <t>https://www.scopus.com/inward/record.uri?eid=2-s2.0-85199921686&amp;partnerID=40&amp;md5=0610fac11d843ed17ea6bd4b36439f60</t>
  </si>
  <si>
    <t>While instance-level explanation of GNN is a well-studied problem with plenty of approaches being developed, providing a global explanation for the behaviour of a GNN is much less explored, despite its potential in interpretability and debugging. Existing solutions either simply list local explanations for a given class, or generate a synthetic prototypical graph with maximal score for a given class, completely missing any combinatorial aspect that the GNN could have learned. In this work, we propose GLGExplainer (Global Logic-based GNN Explainer), the first Global Explainer capable of generating explanations as arbitrary Boolean combinations of learned graphical concepts. GLGExplainer is a fully differentiable architecture that takes local explanations as inputs and combines them into a logic formula over graphical concepts, represented as clusters of local explanations. Contrary to existing solutions, GLGExplainer provides accurate and human-interpretable global explanations that are perfectly aligned with ground-truth explanations (on synthetic data) or match existing domain knowledge (on real-world data). Extracted formulas are faithful to the model predictions, to the point of providing insights into some occasionally incorrect rules learned by the model, making GLGExplainer a promising diagnostic tool for learned GNNs. © 2023 11th International Conference on Learning Representations, ICLR 2023. All rights reserved.</t>
  </si>
  <si>
    <t>Benhamed S.; Nait-Bahloul S.</t>
  </si>
  <si>
    <t>Pre-processing of RDF data for METIS partitioning</t>
  </si>
  <si>
    <t>https://www.scopus.com/inward/record.uri?eid=2-s2.0-85179588144&amp;doi=10.1504%2fIJMSO.2023.135345&amp;partnerID=40&amp;md5=710b4da2c0b62e819a70550782d60e12</t>
  </si>
  <si>
    <t>The partitioning of RDF data on a large scale allows generating a set of RDF data subgraphs. METIS is a graph partitioning technique that minimises the cost of partitioning. METIS applies, among other things, to RDF graphs. However, the semantics introduced in the description of RDF data is not taken into account in the partitioning process in METIS. For this, we propose in this paper a step of pre-processing RDF data before partitioning these data. The objective of this step is to improve the quality of semantic partitioning of RDF graphs. The evaluation of the RDF pre-processing step for METIS was performed on real and synthetic data. Copyright © 2023 Inderscience Enterprises Ltd.</t>
  </si>
  <si>
    <t>graph partitioning; METIS; pre-processing; RDF data; RDF graph</t>
  </si>
  <si>
    <t>Crisan A.; Fisher S.E.; Gardy J.L.; Munzner T.</t>
  </si>
  <si>
    <t>https://www.scopus.com/inward/record.uri?eid=2-s2.0-85114603605&amp;doi=10.1109%2fTVCG.2021.3107749&amp;partnerID=40&amp;md5=bd388909a0cbcbce0373c6a358c1a640</t>
  </si>
  <si>
    <t>Genomic Epidemiology (genEpi) is a branch of public health that uses many different data types including tabular, network, genomic, and geographic, to identify and contain outbreaks of deadly diseases. Due to the volume and variety of data, it is challenging for genEpi domain experts to conduct data reconnaissance; that is, have an overview of the data they have and make assessments toward its quality, completeness, and suitability. We present an algorithm for data reconnaissance through automatic visualization recommendation, GEViTRec. Our approach handles a broad variety of dataset types and automatically generates visually coherent combinations of charts, in contrast to existing systems that primarily focus on singleton visual encodings of tabular datasets. We automatically detect linkages across multiple input datasets by analyzing non-numeric attribute fields, creating a data source graph within which we analyze and rank paths. For each high-ranking path, we specify chart combinations with positional and color alignments between shared fields, using a gradual binding approach to transform initial partial specifications of singleton charts to complete specifications that are aligned and oriented consistently. A novel aspect of our approach is its combination of domain-agnostic elements with domain-specific information that is captured through a domain-specific visualization prevalence design space. Our implementation is applied to both synthetic data and real Ebola outbreak data. We compare GEViTRec's output to what previous visualization recommendation systems would generate, and to manually crafted visualizations used by practitioners. We conducted formative evaluations with ten genEpi experts to assess the relevance and interpretability of our results. Code, Data, and Study Materials Availability: https://github.com/amcrisan/GEVitRec.  © 1995-2012 IEEE.</t>
  </si>
  <si>
    <t>bioinformatics; data reconnaissance; Heterogeneous data; multiple coordinated views</t>
  </si>
  <si>
    <t>Eltaleb I.; Soliman M.Y.</t>
  </si>
  <si>
    <t>https://www.scopus.com/inward/record.uri?eid=2-s2.0-85149177735&amp;doi=10.3390%2fen16041970&amp;partnerID=40&amp;md5=6929d5d8f5812516d729cbde835a8696</t>
  </si>
  <si>
    <t>This study presents an analytical model for estimating minimum horizontal stress inhydraulic fracturing stimulations. The conventional Diagnostic Fracture Injection Test (DFIT) isnot practical in ultra-tight formations, leading to the need for pump-in/flowback tests. However,ambiguities in the results of these tests have limited their application. The proposed model is basedon the linear diffusivity equation and material balance, which is analytically solved and verifiedusing a commercially available numerical simulator. The model generates a linear graph in which thepressure drop and its derivative are plotted versus the developed solution time function. The closurepressure is determined when the slope of the derivative deviates from linearity. The model wasapplied to several cycles of field flowback tests and found to eliminate the ambiguity associatedwith identifying the fracture closure. Furthermore, the minimum In-situ stresses estimated usingthis approach are verified via downhole strain measurement and synthetic data from a fully 3Dcommercial fracturing simulator. The proposed technique outperformed other conventional methodsin analyzing challenging injection/shut-in tests, showing improved results and reducing uncertaintyin estimated fracture parameters. This model is expected to scale down the need for multiple fieldtrials and provide a reliable estimation of minimum stress. © 2023 by the authors.</t>
  </si>
  <si>
    <t>DFIT; EGS Collab; flowback; in-situ stress; minifrac</t>
  </si>
  <si>
    <t>Volgin I.V.; Batyr P.A.; Matseevich A.V.; Dobrovskiy A.Y.; Andreeva M.V.; Nazarychev V.M.; Larin S.V.; Goikhman M.Y.; Vizilter Y.V.; Askadskii A.A.; Lyulin S.V.</t>
  </si>
  <si>
    <t>Machine Learning with Enormous "synthetic" Data Sets: Predicting Glass Transition Temperature of Polyimides Using Graph Convolutional Neural Networks</t>
  </si>
  <si>
    <t>https://www.scopus.com/inward/record.uri?eid=2-s2.0-85142661742&amp;doi=10.1021%2facsomega.2c04649&amp;partnerID=40&amp;md5=8db5079dce1b6cf327d62a4d9a86304e</t>
  </si>
  <si>
    <t>https://www.scopus.com/inward/record.uri?eid=2-s2.0-85190697714&amp;partnerID=40&amp;md5=a927ef1a5ad98eafc3c3241524493133</t>
  </si>
  <si>
    <t>Montagna F.; Noceti N.; Rosasco L.; Zhang K.; Locatello F.</t>
  </si>
  <si>
    <t>https://www.scopus.com/inward/record.uri?eid=2-s2.0-85168726315&amp;partnerID=40&amp;md5=f05e8f61a1510bdcab99defbbe29ca47</t>
  </si>
  <si>
    <t>Causal discovery methods are intrinsically constrained by the set of assumptions needed to ensure structure identifiability. Moreover additional restrictions are often imposed in order to simplify the inference task: this is the case for the Gaussian noise assumption on additive nonlinear models, which is common to many causal discovery approaches. In this paper we show the shortcomings of inference under this hypothesis, analyzing the risk of edge inversion under violation of Gaussianity of the noise terms. Then, we propose a novel method for inferring the topological ordering of the variables in the causal graph, from data generated according to an additive nonlinear model with a generic noise distribution. This leads to NoGAM (Not only Gaussian Additive noise Models), a causal discovery algorithm with a minimal set of assumptions and state of the art performance, experimentally benchmarked on synthetic data. © 2023 F. Montagna, N. Noceti, L. Rosasco, K. Zhang &amp; F. Locatello.</t>
  </si>
  <si>
    <t>Arbitrary noise distribution; Causal discovery; Score matching</t>
  </si>
  <si>
    <t>Valdestilhas A.; Javamasoudian S.; Zia G.A.J.; Muth T.; Hanke T.; Fellenberg H.</t>
  </si>
  <si>
    <t>NATURALMSEQUERIES - A NATURAL WAY TO QUERY MATERIAL SCIENCES ENGINEERING DATA EXPERIMENTS</t>
  </si>
  <si>
    <t>https://www.scopus.com/inward/record.uri?eid=2-s2.0-85181766510&amp;partnerID=40&amp;md5=48991d1e47b68648a1210c0393c90b31</t>
  </si>
  <si>
    <t>Materials science experiments involve complex data that are often very heterogeneous and challenging to reproduce. Challenges with materials science data were observed, for example, in a previous study on harnessing lightweight design potentials via the Materials Data Space for which the data from materials sciences engineering experiments were generated using linked open data principles, e.g., Resource Description Framework (RDF) as the standard model for data interchange on the Web. However, detailed knowledge of formulating questions in the query language SPARQL is necessary to query the data. It was noticed that domain experts in Materials Science lack knowledge of querying the data using SPARQL queries. With this work, we aim to develop NaturalMSEQueries an approach for the material science domain expert where instead of SPARQL queries, the user can develop expressions in natural language, e.g., English, to query the data. This will significantly improve the usability of Semantic Web approaches in materials science and lower the adoption threshold of the methods for the domain experts. We plan to evaluate our approach, with varying amounts of data, from different sources. Furthermore, we want to compare with synthetic data to assess the quality of the implementation of our approach. The repository is available online at https://github.com/Mat-O-Lab/KnowledgeUI. © ICWI 2023.All rights reserved.</t>
  </si>
  <si>
    <t>Knowledge Graph; Materials Science; Natural Language Processing; Predictions; Semantic Web</t>
  </si>
  <si>
    <t>Thomas S.; Tiago C.; Andreassen B.S.; Aase S.-A.; Šprem J.; Steen E.; Solberg A.; Ben-Yosef G.</t>
  </si>
  <si>
    <t>Graph Convolutional Neural Networks for Automated Echocardiography View Recognition: A Holistic Approach</t>
  </si>
  <si>
    <t>https://www.scopus.com/inward/record.uri?eid=2-s2.0-85174742614&amp;doi=10.1007%2f978-3-031-44521-7_5&amp;partnerID=40&amp;md5=a5466fc032fd3f4ff2a8fe19eb76026b</t>
  </si>
  <si>
    <t>To facilitate diagnosis on cardiac ultrasound (US), clinical practice has established several standard views of the heart, which serve as reference points for diagnostic measurements and define viewports from which images are acquired. Automatic view recognition involves grouping those images into classes of standard views. Although deep learning techniques have been successful in achieving this, they still struggle with fully verifying the suitability of an image for specific measurements due to factors like the correct location, pose, and potential occlusions of cardiac structures. Our approach goes beyond view classification and incorporates a 3D mesh reconstruction of the heart that enables several more downstream tasks, like segmentation and pose estimation. In this work, we explore learning 3D heart meshes via graph convolutions, using similar techniques to learn 3D meshes in natural images, such as human pose estimation. As the availability of fully annotated 3D images is limited, we generate synthetic US images from 3D meshes by training an adversarial denoising diffusion model. Experiments were conducted on synthetic and clinical cases for view recognition and structure detection. The approach yielded good performance on synthetic images and, despite being exclusively trained on synthetic data, it already showed potential when applied to clinical images. With this proof-of-concept, we aim to demonstrate the benefits of graphs to improve cardiac view recognition that can ultimately lead to better efficiency in cardiac diagnosis. © 2023, The Author(s), under exclusive license to Springer Nature Switzerland AG.</t>
  </si>
  <si>
    <t>Detection; Diffusion models; Echocardiography; Graph convolutional networks; Mesh reconstruction; View recognition</t>
  </si>
  <si>
    <t>Kallipolitis A.; Gallos P.; Menychtas A.; Tsanakas P.; Maglogiannis I.</t>
  </si>
  <si>
    <t>Medical Knowledge Extraction from Graph-Based Modeling of Electronic Health Records</t>
  </si>
  <si>
    <t>https://www.scopus.com/inward/record.uri?eid=2-s2.0-85163376743&amp;doi=10.1007%2f978-3-031-34111-3_24&amp;partnerID=40&amp;md5=671a534a5abbfbe5ebcc4d03cdbc504b</t>
  </si>
  <si>
    <t>The variety and dimensionality of health-related data cannot be addressed by the human perception to arrive at useful knowledge or conclusions for proposing individualized treatment, diagnosis, or prognosis for a disease. Treating this wealth of heterogeneous data in a tabular manner deprives us of the knowledge that is hidden in interactions between the different types of data. In this paper, the potentials of graph-based data modeling and management are explored. Entities such as patients, encounters, observations, and immunizations are structured as graph elements with meaningful connections and are, consequently, encoded to form graph embeddings. The graph embeddings contain information about the graph structure in the vicinity of the node. This vicinity contains multiple low-level graph embeddings that are further encoded into a single high-level vector for utilization in downstream tasks by applying higher-order statistics on Gaussian Mixture Models With reference to the Covid-19 pandemic, we make use of synthetic data for predicting the risk of a patient’s fatality with a focus to prevent hospital overpopulation. Initial results demonstrate that utilizing networks of health data entities for the generation of compact medical representations has a positive impact on the performance of machine learning tasks. Since the generated Electronic Health Record vectors are label independent, they can be utilized for any classification or clustering task words. © 2023, IFIP International Federation for Information Processing.</t>
  </si>
  <si>
    <t>Electronic Health Records; Fisher Vector; Graph Embeddings; Heterogenous Graphs</t>
  </si>
  <si>
    <t>18th International Conference on Frontiers in Handwriting Recognition, ICFHR 2022</t>
  </si>
  <si>
    <t>https://www.scopus.com/inward/record.uri?eid=2-s2.0-85144426137&amp;partnerID=40&amp;md5=3ceefd5585e17ccf961598ede8d6b9c2</t>
  </si>
  <si>
    <t>Li S.; Zhang Y.; Tan Z.; Ma S.</t>
  </si>
  <si>
    <t>Diversifying repairs of Denial constraint violations</t>
  </si>
  <si>
    <t>https://www.scopus.com/inward/record.uri?eid=2-s2.0-85127492153&amp;doi=10.1016%2fj.is.2022.102041&amp;partnerID=40&amp;md5=938c0be1d160361b9046cd1f49381002</t>
  </si>
  <si>
    <t>Denial constraints (DCs) are expressive enough to subsume many other dependencies, and proven useful in data cleaning for improving data quality. As a complement to the methods of computing a single (nearly) optimum repair of DC violations, in this paper we make the first effort to diversify repairs of DC violations, aiming to generate a set of diversified repairs. (1) We adapt the concept of cardinality-set-minimal repairs to DCs, and relate a cardinality-set-minimal repair to a minimal vertex cover of the conflict hypergraph w.r.t. a given set Σ of DCs on a relational instance I. (2) We formalize the problem of diversifying cardinality-set-minimal repairs of DC violations, and address the problem by presenting a set of algorithms and optimizations to generate a set of diversified minimal vertex covers of the conflict hypergraph. (3) Using both real-life and synthetic data, we conduct extensive experiments to verify the effectiveness and efficiency of our methods. © 2022 Elsevier Ltd</t>
  </si>
  <si>
    <t>Algorithms; Data repairing; Denial constraints</t>
  </si>
  <si>
    <t>Niu H.; Omitaomu O.A.; Langston M.A.; Olama M.; Ozmen O.; Klasky H.B.; Laurio A.; Sauer B.; Ward M.; Nebeker J.</t>
  </si>
  <si>
    <t>https://www.scopus.com/inward/record.uri?eid=2-s2.0-85141743979&amp;doi=10.1016%2fj.jbi.2022.104219&amp;partnerID=40&amp;md5=fd20cd0e678445bcf13b2dd6c98bbd4a</t>
  </si>
  <si>
    <t>Detecting anomalous sequences is an integral part of building and protecting modern large-scale health information technology (HIT) systems. These HIT systems generate a large volume of records of patients’ state and significant events, which provide a valuable resource to help improve clinical decisions, patient care processes, and other issues. However, detecting anomalous sequences in electronic health records (EHR) remains a challenge in healthcare applications for several reasons, including imbalances in the data, complexity of relationships between events in the sequence, and the curse of dimensionality. Conventional anomaly detection methods use the finite sequence of events to discriminate sequences. They fail to incorporate salient event details under variable higher-order dependencies (e.g., duration between events) that can provide better discrimination of sequences in their models. To address this problem, we propose event sequence and subsequence anomaly detection algorithms that (1) use network-based representations of interactions in the data, (2) account for variable higher-order dependencies in the data, and (3) incorporate events duration for adequate discrimination of the data. The proposed approach identifies anomalies by monitoring the change in the graph after the test sequence is removed from the network. The change is quantified using graph distance metrics so that dramatic changes in the network can be attributed to the removed sequence. Furthermore, the proposed subsequence algorithm recommends plausible paths and salient information for the detected anomalous subsequences. Our results show that the proposed event sequence anomaly detection algorithm outperforms the baseline methods for both synthetic data and real-world EHR data. © 2022 The Author(s)</t>
  </si>
  <si>
    <t>Anomaly detection; Electronic health records; Event sequence; Higher-order tensor network</t>
  </si>
  <si>
    <t>Goerttler S.; Wu M.; He F.</t>
  </si>
  <si>
    <t>The Effect of Graph Frequencies on Dynamic Structures in Graph Signal Processing</t>
  </si>
  <si>
    <t>https://www.scopus.com/inward/record.uri?eid=2-s2.0-85147715261&amp;doi=10.1109%2fSPMB55497.2022.10014954&amp;partnerID=40&amp;md5=73e25964de30ed96f7b6ff4384ec2cbd</t>
  </si>
  <si>
    <t>Multivariate signals are signals consisting of multiple signals measured simultaneously over time and are most commonly acquired by sensor networks. The emerging field of graph signal processing (GSP) promises to analyse dynamic characteristics of multivariate signals, while at the same time taking the network, or spatial structure between the signals into account. To do so, GSP decomposes the multivariate signals into graph frequency signals, which are ordered by their magnitude. However, the meaning of the graph frequencies in terms of this ordering remains poorly understood. Here, we investigate the role the ordering plays in preserving valuable dynamic structures in the signals, with neuroimaging applications in mind. In order to overcome the limitations in sample size common to neurophysiological data sets, we introduce a minimalist simulation framework to generate arbitrary amounts of data. Using this artificial data, we find that lower graph frequency signals are less suitable for classifying neurophysiological data than higher graph frequency signals. We further introduce a baseline testing framework for GSP. Using this framework, we conclude that dynamic, or spectral structures are poorly preserved in GSP, high-lighting current limitations of GSP for neuroimaging.  © 2022 IEEE.</t>
  </si>
  <si>
    <t>graph Fourier transform; graph signal processing; multivariate signals; neurophysiological signals</t>
  </si>
  <si>
    <t>Lorch L.; Sussex S.; Rothfuss J.; Krause A.; Schölkopf B.</t>
  </si>
  <si>
    <t>Amortized Inference for Causal Structure Learning</t>
  </si>
  <si>
    <t>https://www.scopus.com/inward/record.uri?eid=2-s2.0-85148428638&amp;partnerID=40&amp;md5=6e3a7fe7a3ca7b2c992a5d002f7efd31</t>
  </si>
  <si>
    <t>Inferring causal structure poses a combinatorial search problem that typically involves evaluating structures with a score or independence test. The resulting search is costly, and designing suitable scores or tests that capture prior knowledge is difficult. In this work, we propose to amortize causal structure learning. Rather than searching over structures, we train a variational inference model to directly predict the causal structure from observational or interventional data. This allows our inference model to acquire domain-specific inductive biases for causal discovery solely from data generated by a simulator, bypassing both the hand-engineering of suitable score functions and the search over graphs. The architecture of our inference model emulates permutation invariances that are crucial for statistical efficiency in structure learning, which facilitates generalization to significantly larger problem instances than seen during training. On synthetic data and semisynthetic gene expression data, our models exhibit robust generalization capabilities when subject to substantial distribution shifts and significantly outperform existing algorithms, especially in the challenging genomics domain. Our code and models are publicly available at: https://github.com/larslorch/avici. © 2022 Neural information processing systems foundation. All rights reserved.</t>
  </si>
  <si>
    <t>Bleker L.; Pastrana R.; Ohlbrock P.O.; D'Acunto P.</t>
  </si>
  <si>
    <t>Structural form-finding enhanced by graph neural networks</t>
  </si>
  <si>
    <t>https://www.scopus.com/inward/record.uri?eid=2-s2.0-85196967604&amp;doi=10.1007%2f978-3-031-13249-0_3&amp;partnerID=40&amp;md5=fc05739fd019b7ecdd2e0425e216de46</t>
  </si>
  <si>
    <t>Computational form-finding methods hold great potential for enabling resource-efficient structural design. In this context, the Combinatorial Equilibrium Modelling (CEM) allows the design of cross-typological tension-compression structures starting from an input topology diagram in the form of a graph. This paper presents an AI-assisted design workflow in which the graph modelling process required by the CEM is simplified through the application of a Graph Neural Network (GNN). To this end, a GNN model is used for the automatic labelling of edges of unlabelled topology diagrams. A synthetic topology diagram data generator is developed to produce training data for the GNN model. The trained GNN is tested on a dataset of typical bridge topologies based on real structures. The experiments show that the trained GNN generalises well to unseen synthetic data and data from real structures similar to the synthetic data. Hence, further developments of the GNN model have the potential to make the proposed design workflow a valuable tool for the conceptual design of structures. © The Author(s), under exclusive license to Springer Nature Switzerland AG 2023. All rights reserved.</t>
  </si>
  <si>
    <t>Combinatorial Equilibrium Modelling; Equilibrium-based design; Graph Neural Networks; Machine learning; Structural form-finding</t>
  </si>
  <si>
    <t>Xu C.; Cheng X.; Xie Y.</t>
  </si>
  <si>
    <t>Invertible Neural Networks for Graph Prediction</t>
  </si>
  <si>
    <t>https://www.scopus.com/inward/record.uri?eid=2-s2.0-85161963302&amp;doi=10.1109%2fJSAIT.2022.3221864&amp;partnerID=40&amp;md5=4ed81e2719d5e5b78903738b378e7443</t>
  </si>
  <si>
    <t>Graph prediction problems prevail in data analysis and machine learning. The inverse prediction problem, namely to infer input data from given output labels, is of emerging interest in various applications. In this work, we develop invertible graph neural network (iGNN), a deep generative model to tackle the inverse prediction problem on graphs by casting it as a conditional generative task. The proposed model consists of an invertible sub-network that maps one-to-one from data to an intermediate encoded feature, which allows forward prediction by a linear classification sub-network as well as efficient generation from output labels via a parametric mixture model. The invertibility of the encoding sub-network is ensured by a Wasserstein-2 regularization which allows free-form layers in the residual blocks. The model is scalable to large graphs by a factorized parametric mixture model of the encoded feature and is computationally scalable by using GNN layers. The existence of invertible flow mapping is backed by theories of optimal transport and diffusion process, and we prove the expressiveness of graph convolution layers to approximate the theoretical flows of graph data. The proposed iGNN model is experimentally examined on synthetic data, including the example on large graphs, and the empirical advantage is also demonstrated on real-application datasets of solar ramping event data and traffic flow anomaly detection. © 2020 IEEE.</t>
  </si>
  <si>
    <t>generative models; graph neural networks; Invertible neural networks; normalizing flow; prediction</t>
  </si>
  <si>
    <t>Dong Z.; Li Z.; Yan Y.; Calinon S.; Chen F.</t>
  </si>
  <si>
    <t>Passive Bimanual Skills Learning from Demonstration with Motion Graph Attention Networks</t>
  </si>
  <si>
    <t>https://www.scopus.com/inward/record.uri?eid=2-s2.0-85125751584&amp;doi=10.1109%2fLRA.2022.3152974&amp;partnerID=40&amp;md5=98f8f0a57c3d47b8ab39c794a938af79</t>
  </si>
  <si>
    <t>Enabling household robots to passively learn task-level skills from human demonstration could substantially boost their application in daily life. In this letter, we propose a Learning from Demonstration (LfD) scheme capturing human uni/bimanual demonstrations with motion capture suit and virtual reality (VR) trackers, wherein the demonstrated skills are transferred to a humanoid with a learnable graph attention network (GAT) based model. The model trained with human hand trajectories and target object poses yield the movement policy as a trajectory generator, which outputs the Cartesian trajectories for robot end-effectors to execute the task given their poses and optionally the object's initial pose as input. Test on synthetic data and three real robot experiments indicated that the policy could learn unimanual and coordinated bimanual, interactive and non-interactive manipulation skills with a unified scheme.  © 2016 IEEE.</t>
  </si>
  <si>
    <t>Datasets for human motion; deep learning in grasping and manipulation; dual arm manipulation; learning from demonstration</t>
  </si>
  <si>
    <t>Kordatos I.D.; Benardos P.</t>
  </si>
  <si>
    <t>Comparative analysis of machine learning algorithms for steel plate defect classification</t>
  </si>
  <si>
    <t>https://www.scopus.com/inward/record.uri?eid=2-s2.0-85144448036&amp;doi=10.1504%2fijmms.2022.127211&amp;partnerID=40&amp;md5=ca44366390d90299e92539ddcdbf8f99</t>
  </si>
  <si>
    <t>In manufacturing, defect detection is typically performed manually to ensure the required quality of the produced parts; however, this is a labour-intensive and time-consuming process, and therefore a lot of research focuses on its automation. This work presents an investigation of four machine learning algorithms (logistic regression, support vector machines (SVM), k-nearest neighbour (k-NN), and Random Forest (RF)), as they have been applied to defect classification in steel plate manufacturing using the Faulty Steel Plates public dataset. These algorithms have been used in combination with different techniques to determine the most appropriate model inputs and parameters. Out of the investigated combinations, the highest accuracy, equal to 82.5%, was achieved by a RF classifier with polynomial feature engineering, hyperparameter tuning and a grid search method. Finally, a graph-based, serial, three–stage custom classifier has also been developed, which has achieved an accuracy of at least 92% in every stage. Copyright © 2022 Inderscience Enterprises Ltd.</t>
  </si>
  <si>
    <t>automated part inspection; imbalanced learning; industry 4.0; multiclass classification; synthetic data generation</t>
  </si>
  <si>
    <t>Zhang B.; Zhang X.; Du W.; Song Z.; Zhang G.; Zhang G.; Wang Y.; Chen X.; Jiang J.; Luo Y.</t>
  </si>
  <si>
    <t>https://www.scopus.com/inward/record.uri?eid=2-s2.0-85139105726&amp;doi=10.1073%2fpnas.2212711119&amp;partnerID=40&amp;md5=1afde391c4259540524b96033de40eb6</t>
  </si>
  <si>
    <t>Infusing “chemical wisdom” should improve the data-driven approaches that rely exclusively on historical synthetic data for automatic retrosynthesis planning. For this purpose, we designed a chemistry-informed molecular graph (CIMG) to describe chemical reactions. A collection of key information that is most relevant to chemical reactions is integrated in CIMG:NMR chemical shifts as vertex features, bond dissociation energies as edge features, and solvent/catalyst information as global features. For any given compound as a target, a product CIMG is generated and exploited by a graph neural network (GNN) model to choose reaction template(s) leading to this product. A reactant CIMG is then inferred and used in two GNN models to select appropriate catalyst and solvent, respectively. Finally, a fourth GNN model compares the two CIMG descriptors to check the plausibility of the proposed reaction. A reaction vector is obtained for every molecule in training these models. The chemical wisdom of reaction propensity contained in the pretrained reaction vectors is exploited to autocategorize molecules/ reactions and to accelerate Monte Carlo tree search (MCTS) for multistep retrosynthesis planning. Full synthetic routes with recommended catalysts/solvents are predicted efficiently using this CIMG-based approach. Copyright © 2022 the Author(s). Published by PNAS.</t>
  </si>
  <si>
    <t>chemistry-informed molecular graph; graph neural network; Monte Carlo tree search; retrosynthesis planning</t>
  </si>
  <si>
    <t>Hanspach J.; Bollmann S.; Grigo J.; Karius A.; Uder M.; Laun F.B.</t>
  </si>
  <si>
    <t>Deep learning–based quantitative susceptibility mapping (QSM) in the presence of fat using synthetically generated multi-echo phase training data</t>
  </si>
  <si>
    <t>https://www.scopus.com/inward/record.uri?eid=2-s2.0-85132040684&amp;doi=10.1002%2fmrm.29265&amp;partnerID=40&amp;md5=f70e88ebedc9c59b254e04646b036e69</t>
  </si>
  <si>
    <t>Purpose: To enable a fast and automatic deep learning–based QSM reconstruction of tissues with diverse chemical shifts, relevant to most regions outside the brain. Methods: A UNET was trained to reconstruct susceptibility maps using synthetically generated, unwrapped, multi-echo phase data as input. The RMS error with respect to synthetic validation data was computed. The method was tested on two in vivo knee and two pelvis data sets. Comparisons were made to a conventional fat–water separation pipeline by applying a commonly used graph-cut algorithm, both without and with an extended mask for background field removal (FWS-CONV-QSM and FWS-MASK-CONV-QSM, respectively). Several regions of interest were segmented and compared. Furthermore, the approach was tested on a prostate cancer patient receiving low-dose-rate brachytherapy, to detect and localize the seeds by MRI. Results: The RMS error was 0.292 ppm with FWS-CONV-QSM and 0.123 ppm for the UNET approach. Susceptibility maps were reconstructed much faster (&lt; 10 s) and completely automatically (no background masking needed) by the UNET compared with the other applied techniques (5 min 51 s and 22 min 44 s for CONV-QSM and FWS-MASK-CONV-QSM, respectively. Background artifacts, fat–water swaps, and hypointense artifacts between I-125 seeds of a patient receiving low-dose brachytherapy in the prostate were largely reduced in the UNET approach. Conclusions: Deep learning–based QSM reconstruction, trained solely with synthetic data, is well-suited to rapidly reconstructing high-quality susceptibility maps in the presence of fat without needing masking for background field removal. © 2022 The Authors. Magnetic Resonance in Medicine published by Wiley Periodicals LLC on behalf of International Society for Magnetic Resonance in Medicine.</t>
  </si>
  <si>
    <t>deep learning; dipole inversion; fat–water separation; magnetic resonance imaging (MRI); prostate seed detection; quantitative susceptibility mapping (QSM)</t>
  </si>
  <si>
    <t>Batra P.; Sagar V.; Kandoi K.</t>
  </si>
  <si>
    <t>An Evaluation of Intelligent Network Data Analytics Based on Machine Learning in 5G Data Networks</t>
  </si>
  <si>
    <t>https://www.scopus.com/inward/record.uri?eid=2-s2.0-85154030149&amp;doi=10.1109%2fINCOFT55651.2022.10094324&amp;partnerID=40&amp;md5=bb27891a0dc8fe1e8ed1af00518b6ca0</t>
  </si>
  <si>
    <t>Big Data Analytics has developed as a judgment technique for unopened organizations to uncover hidden patterns, relationships, industry trends, and consumption patterns. Newline Of the most common sources of big data is Viral marketing data sets, as Web 2.0 null byte technology generate massive social corpora from our everyday routines. Newline in basic language Web 2.0 technology applications including Internet newline data analytics, relationship management, Text Analytics, and opinion line break mining depend heavily on processing.Even before compared to prestige cellular networks, 5G cellular networks have many major updates, such as network data analytics-based network data analytics, which will allow network administrators to either implement their own machine learning (ML)-based data analytics methodologies or incorporating third-party solutions into their networks. This study originally presents the structure and protocols of network data analytics based on the 3rd Generation Partnership Project (3GPP) standard standards. Then, based on the fields specified by the 3GPP specification, a cell-based artificial data set for 5G networks is built.Network slice, a major 5G technology, divides a physical network into many virtual end-to-end networks, each of which may receive logically separate network resources to offer richer services. 5G mobile data and sensor data are combining to produce an increasing network traffic. Traffic explosion has grown into a mixed network type, involving network viruses, worms, network theft, and hostile assaults. How to differentiate traffic kinds, restrict fraudulent traffic, and make optimal use of sensor data in the context of a 5G network slice, as well as the importance of this researchAdditionally, some abnormalities are added to this collected data (for examples, unexpected increased volume in a particular tissue), and so these irregularities are categorized within each compartment, subscriber's category, and remote controller.  © 2022 IEEE.</t>
  </si>
  <si>
    <t>5G cellular networks; machine learning; network viruses; technology of 5G; Traffic explosion</t>
  </si>
  <si>
    <t>Zhang Y.; Zhang H.; Xiao L.; Bai Y.; Calhoun V.D.; Wang Y.-P.</t>
  </si>
  <si>
    <t>Multi-Modal Imaging Genetics Data Fusion via a Hypergraph-Based Manifold Regularization: Application to Schizophrenia Study</t>
  </si>
  <si>
    <t>https://www.scopus.com/inward/record.uri?eid=2-s2.0-85127020975&amp;doi=10.1109%2fTMI.2022.3161828&amp;partnerID=40&amp;md5=5a45d9cc246d11d7525ef01120a5db9d</t>
  </si>
  <si>
    <t>Recent studies show that multi-modal data fusion techniques combine information from diverse sources for comprehensive diagnosis and prognosis of complex brain disorder, often resulting in improved accuracy compared to single-modality approaches. However, many existing data fusion methods extract features from homogeneous networs, ignoring heterogeneous structural information among multiple modalities. To this end, we propose a Hypergraph-based Multi-modal data Fusion algorithm, namely HMF. Specifically, we first generate a hypergraph similarity matrix to represent the high-order relationships among subjects, and then enforce the regularization term based upon both the inter- and intra-modality relationships of the subjects. Finally, we apply HMF to integrate imaging and genetics datasets. Validation of the proposed method is performed on both synthetic data and real samples from schizophrenia study. Results show that our algorithm outperforms several competing methods, and reveals significant interactions among risk genes, environmental factors and abnormal brain regions. © 1982-2012 IEEE.</t>
  </si>
  <si>
    <t>Hypergraph; information fusion Imaging genetics; multi-modal data; schizophrenia classification</t>
  </si>
  <si>
    <t>Yu C.; Soulat H.; Burgess N.; Sahani M.</t>
  </si>
  <si>
    <t>Structured Recognition for Generative Models with Explaining Away</t>
  </si>
  <si>
    <t>https://www.scopus.com/inward/record.uri?eid=2-s2.0-85163163173&amp;partnerID=40&amp;md5=761870c7b9bd1f1ee45ab8f7468353bd</t>
  </si>
  <si>
    <t>A key goal of unsupervised learning is to go beyond density estimation and sample generation to reveal the structure inherent within observed data. Such structure can be expressed in the pattern of interactions between explanatory latent variables captured through a probabilistic graphical model. Although the learning of structured graphical models has a long history, much recent work in unsupervised modelling has instead emphasised flexible deep-network-based generation, either transforming independent latent generators to model complex data or assuming that distinct observed variables are derived from different latent nodes. Here, we extend amortised variational inference to incorporate structured factors over multiple variables, able to capture the observation-induced posterior dependence between latents that results from “explaining away” and thus allow complex observations to depend on multiple nodes of a structured graph. We show that appropriately parametrised factors can be combined efficiently with variational message passing in rich graphical structures. We instantiate the framework in nonlinear Gaussian Process Factor Analysis, evaluating the structured recognition framework using synthetic data from known generative processes. We fit the GPFA model to high-dimensional neural spike data from the hippocampus of freely moving rodents, where the model successfully identifies latent signals that correlate with behavioural covariates. © 2022 Neural information processing systems foundation. All rights reserved.</t>
  </si>
  <si>
    <t>Trivedi P.; Lubana E.S.; Heimann M.; Koutra D.; Thiagarajan J.J.</t>
  </si>
  <si>
    <t>https://www.scopus.com/inward/record.uri?eid=2-s2.0-85147923096&amp;partnerID=40&amp;md5=94f6ec428fdeee4f061fe22f46c60248</t>
  </si>
  <si>
    <t>Recent analyses of self-supervised learning (SSL) find the following data-centric properties to be critical for learning good representations: invariance to task-irrelevant semantics, separability of classes in some latent space, and recoverability of labels from augmented samples. However, given their discrete, non-Euclidean nature, graph datasets and graph SSL methods are unlikely to satisfy these properties. This raises the question: how do graph SSL methods, such as contrastive learning (CL), work well? To systematically probe this question, we perform a generalization analysis for CL when using generic graph augmentations (GGAs), with a focus on data-centric properties. Our analysis yields formal insights into the limitations of GGAs and the necessity of task-relevant augmentations. As we empirically show, GGAs do not induce task-relevant invariances on common benchmark datasets, leading to only marginal gains over naive, untrained baselines. Our theory motivates a synthetic data generation process that enables control over task-relevant information and boasts pre-defined optimal augmentations. This flexible benchmark helps us identify yet unrecognized limitations in advanced augmentation techniques (e.g., automated methods). Overall, our work rigorously contextualizes, both empirically and theoretically, the effects of data-centric properties on augmentation strategies and learning paradigms for graph SSL. © 2022 Neural information processing systems foundation. All rights reserved.</t>
  </si>
  <si>
    <t>10th International Conference on Model-Driven Engineering and Software Development, MODELSWARD 2022</t>
  </si>
  <si>
    <t>https://www.scopus.com/inward/record.uri?eid=2-s2.0-85172767442&amp;partnerID=40&amp;md5=1055badfd698fc00289909b5d175aae4</t>
  </si>
  <si>
    <t>Markham A.; Das R.; Grosse-Wentrup M.</t>
  </si>
  <si>
    <t>A Distance Covariance-based Kernel for Nonlinear Causal Clustering in Heterogeneous Populations</t>
  </si>
  <si>
    <t>https://www.scopus.com/inward/record.uri?eid=2-s2.0-85140201859&amp;partnerID=40&amp;md5=de32aa3824da57172c0c2cd7fb38b5df</t>
  </si>
  <si>
    <t>We consider the problem of causal structure learning in the setting of heterogeneous populations, i.e., populations in which a single causal structure does not adequately represent all population members, as is common in biological and social sciences. To this end, we introduce a distance covariance-based kernel designed specifically to measure the similarity between the underlying nonlinear causal structures of different samples. Indeed, we prove that the corresponding feature map is a statistically consistent estimator of nonlinear independence structure, rendering the kernel itself a statistical test for the hypothesis that sets of samples come from different generating causal structures. Even stronger, we prove that the kernel space is isometric to the space of causal ancestral graphs, so that distance between samples in the kernel space is guaranteed to correspond to distance between their generating causal structures. This kernel thus enables us to perform clustering to identify the homogeneous subpopulations, for which we can then learn causal structures using existing methods. Though we focus on the theoretical aspects of the kernel, we also evaluate its performance on synthetic data and demonstrate its use on a real gene expression data set. © 2022 A. Markham, R. Das &amp; M. Grosse-Wentrup.</t>
  </si>
  <si>
    <t>clustering; distance covariance; graphical causal models; whole-graph embeddings</t>
  </si>
  <si>
    <t>11th Symposium on Languages, Applications and Technologies, SLATE 2022</t>
  </si>
  <si>
    <t>https://www.scopus.com/inward/record.uri?eid=2-s2.0-85136136823&amp;partnerID=40&amp;md5=079028693725808957ac9dd70bd50470</t>
  </si>
  <si>
    <t>The proceedings contain 19 papers. The topics discussed include: assessing similarity between two ontologies: the use of the integrity coefficient; automatic classification of Portuguese proverbs; question answering for toxicological information extraction; generation of document type exercises for automated assessment; synthetic data generation from JSON Schemas; extending PyJL – transpiling Python libraries to Julia; EWVM, a web virtual machine to support code generation in compiler courses; OMT, a web-based tool for ontology matching; comparing different approaches for detecting hate speech in online Portuguese comments; semi-supervised annotation of Portuguese hate speech across social media domains; large semantic graph summarization using namespaces; and the visual programming environment ROBI for educational robotics.</t>
  </si>
  <si>
    <t>Yang X.; Li S.; Liang K.; Nie F.; Lin L.</t>
  </si>
  <si>
    <t>https://www.scopus.com/inward/record.uri?eid=2-s2.0-85133893945&amp;doi=10.1016%2fj.neucom.2022.06.087&amp;partnerID=40&amp;md5=7360b9618c4912f4e287af2e7846e7be</t>
  </si>
  <si>
    <t>Spectral Clustering (SC) is an important method in areas such as data mining, image processing, computer science and so on. It attracts more and more attention owing to its effectiveness in unsupervised learning. However, SC has poor performance in the high-dimensional data. Traditional SC methods conduct the spectral embedding of the affinity matrix among data at the first beginning, and then obtain clustering results by the K-means clustering. The also have drawbacks int two processing steps: the clustering results are sensitive to the affinity matrix which may be inaccurate and the post-processing K-means may also be limited by its initialization problem. In the paper, a new approach which joints spectral embedding and clustering with structured graph optimization (called JSEGO) is proposed. In the new model, the low-dimensional representation of data can first be obtained by the spectral embedding method, which can handle with the high-dimensional data better. Then, the optimization similarity matrix would be obtained with such the embedded data. Furthermore, the learning structure graph gives feedback to the similarity matrix to generate better spectral embedded data. As a result, better similarity matrix and clustering result can be obtained by the iterations simultaneously, which are often conducted in two separate steps in the spectral clustering. As a result, the drawbacks introduced by the two processing introduces can be solved. At last, we use an alternative optimization method in the new model and conduct the theoretical analysis by comparing this proposed method with K-means clustering. Experiments based on synthetic data and actual benchmark data prove the advantage of this new approach. © 2022</t>
  </si>
  <si>
    <t>Affinity matrix; Rank constraint; Spectral clustering; Spectral embedding; Structured graph optimization</t>
  </si>
  <si>
    <t>Ree N.; Göller A.H.; Jensen J.H.</t>
  </si>
  <si>
    <t>RegioML: predicting the regioselectivity of electrophilic aromatic substitution reactions using machine learning</t>
  </si>
  <si>
    <t>https://www.scopus.com/inward/record.uri?eid=2-s2.0-85134885974&amp;doi=10.1039%2fd1dd00032b&amp;partnerID=40&amp;md5=976a03693cd46c571bdb83bffe8b83c8</t>
  </si>
  <si>
    <t>We present RegioML, an atom-based machine learning model for predicting the regioselectivities of electrophilic aromatic substitution reactions. The model relies on CM5 atomic charges computed using semiempirical tight binding (GFN1-xTB) combined with a light gradient boosting machine (LightGBM). The model is trained and tested on 21 201 bromination reactions with 101k reaction centers, which are split into training, test, and out-of-sample datasets with 58k, 15k, and 27k reaction centers, respectively. The accuracy is 93% for the test set and 90% for the out-of-sample set, while the precision (the percentage of positive predictions that are correct) is 88% and 80%, respectively. The test-set performance is very similar to that of the graph-based WLN method developed by Struble et al. (React. Chem. Eng., 2020, 5, 896–902) though the comparison is complicated by the possibility that some of the test and out-of-sample molecules are used to train WLN. RegioML out-performs our physics-based RegioSQM20 method (Nicolai Ree, Andreas H. Göller, Jan H. Jensen, J. Cheminf., 2021, 13, 10) where the precision is only 75%. Even for the out-of-sample dataset, RegioML slightly outperforms RegioSQM20. The good performance of RegioML and WLN is in large part due to the large datasets available for this type of reaction. However, for reactions where there is little experimental data, physics-based approaches like RegioSQM20 can be used to generate synthetic data for model training. We demonstrate this by showing that the performance of RegioSQM20 can be reproduced by a ML-model trained on RegioSQM20-generated data. © 2022 The Author(s). Published by the Royal Society of Chemistry.</t>
  </si>
  <si>
    <t>Kooverjee N.; James S.; van Zyl T.</t>
  </si>
  <si>
    <t>https://www.scopus.com/inward/record.uri?eid=2-s2.0-85127909876&amp;doi=10.3390%2felectronics11081202&amp;partnerID=40&amp;md5=07088ea0c32baa79f5524d617b3794d6</t>
  </si>
  <si>
    <t>Graph neural networks (GNNs) build on the success of deep learning models by extending them for use in graph spaces. Transfer learning has proven extremely successful for traditional deep learning problems, resulting in faster training and improved performance. Despite the increasing interest in GNNs and their use cases, there is little research on their transferability. This research demonstrates that transfer learning is effective with GNNs, and describes how source tasks and the choice of GNN impact the ability to learn generalisable knowledge. We perform experiments using real-world and synthetic data within the contexts of node classification and graph classification. To this end, we also provide a general methodology for transfer learning experimentation and present a novel algorithm for generating synthetic graph classification tasks. We compare the performance of GCN, GraphSAGE and GIN across both synthetic and real-world datasets. Our results demonstrate empirically that GNNs with inductive operations yield statistically significantly improved transfer. Further, we show that similarity in community structure between source and target tasks support statistically significant improvements in transfer over and above the use of only the node attributes. © 2022 by the authors. Licensee MDPI, Basel, Switzerland.</t>
  </si>
  <si>
    <t>graph neural networks; machine learning; multi-task learning; transfer learning</t>
  </si>
  <si>
    <t>Sun H.; He Q.; Qi S.; Yao Y.; Teng Y.</t>
  </si>
  <si>
    <t>https://www.scopus.com/inward/record.uri?eid=2-s2.0-85139081860&amp;doi=10.1016%2fj.compbiomed.2022.106141&amp;partnerID=40&amp;md5=55849a8740334baddb61e17663cd3ef0</t>
  </si>
  <si>
    <t>Datasets are the key to deep learning in autism disease research. However, due to the small quantity and heterogeneity of samples in current public datasets, for example Autism Brain Imaging Data Exchange (ABIDE), the recognition research is not sufficiently effective. Previous studies primarily focused on optimizing feature selection methods and data augmentation to improve recognition accuracy. This research is based on the latter, which learns the edge distribution of a real brain network through the graph recurrent neural network (GraphRNN) and generates synthetic data that have an incentive effect on the discriminant model. Experimental results show that the synthetic data greatly improves the classification ability of the subsequent classifiers, for example, it can improve the classification accuracy of a 50-layer ResNet by up to 30% compared with the case without synthetic data. © 2022 Elsevier Ltd</t>
  </si>
  <si>
    <t>Tripicchio P.; D'Avella S.</t>
  </si>
  <si>
    <t>https://www.scopus.com/inward/record.uri?eid=2-s2.0-85123282977&amp;doi=10.1016%2fj.compeleceng.2022.107700&amp;partnerID=40&amp;md5=157f33d3553c9289f260d4fe7a7001a4</t>
  </si>
  <si>
    <t>In the context of autonomous driving and road situation awareness, this manuscript introduces a Bayesian network that enables the prediction of participant vehicles (PVs) circulating on a highway. The network architecture combines Long-Short-Term-Memory recurrent Deep networks and Support Vector Machines as computational nodes in a graph. The network inputs are real data acquired by radar and synthetic data generated mimicking the real ones. The interaction among multiple vehicles is handled explicitly by introducing the Allowance Factors that model the constraints of the possible interactions of the PVs and the ego car in the trajectory forecast estimation. Results obtained on the conducted tests show the ability of the system to predict the motion of the vehicles up to 6 s in advance with a 92% mean average accuracy. Additionally, if implemented into automatic trajectory planners, the introduced modeling approach enables the prediction and avoidance of possible vehicles’ collisions. © 2022 Elsevier Ltd</t>
  </si>
  <si>
    <t>Autonomous driving; Behavior prediction; Recurrent deep neural networks; Support vector machine</t>
  </si>
  <si>
    <t>Acharya A.; Sikdar S.; Das S.; Rangwala H.</t>
  </si>
  <si>
    <t>GenSyn: A Multi-stage Framework for Generating Synthetic Microdata using Macro Data Sources</t>
  </si>
  <si>
    <t>https://www.scopus.com/inward/record.uri?eid=2-s2.0-85147967523&amp;doi=10.1109%2fBigData55660.2022.10021001&amp;partnerID=40&amp;md5=5d5459e1876202305cad3b04ba91fe54</t>
  </si>
  <si>
    <t>Individual-level data (microdata) that characterizes a population, is essential for studying many real-world problems. However, acquiring such data is not straightforward due to cost and privacy constraints, and access is often limited to aggregated data (macro data) sources. In this study, we examine synthetic data generation as a tool to extrapolate difficult-to-obtain high-resolution data by combining information from multiple easier-to-obtain lower-resolution data sources. In particular, we introduce a framework that uses a combination of univariate and multivariate frequency tables from a given target geographical location in combination with frequency tables from other auxiliary locations to generate synthetic microdata for individuals in the target location. Our method combines the estimation of a dependency graph and conditional probabilities from the target location with the use of a Gaussian copula to leverage the available information from the auxiliary locations. We perform extensive testing on two real-world datasets and demonstrate that our approach outperforms prior approaches in preserving the overall dependency structure of the data while also satisfying the constraints defined on the different variables. © 2022 IEEE.</t>
  </si>
  <si>
    <t>conditional probabilities; copula; macro data; micro data; population synthesis; synthetic data generation</t>
  </si>
  <si>
    <t>Jin W.; Tang X.; Jiang H.; Li Z.; Zhang D.; Tang J.; Yin B.</t>
  </si>
  <si>
    <t>https://www.scopus.com/inward/record.uri?eid=2-s2.0-85137148869&amp;doi=10.1145%2f3534678.3539429&amp;partnerID=40&amp;md5=e7e17276bcf33164363bf6ce643ca64b</t>
  </si>
  <si>
    <t>As training deep learning models on large dataset takes a lot of time and resources, it is desired to construct a small synthetic dataset with which we can train deep learning models sufficiently. There are recent works that have explored solutions on condensing image datasets through complex bi-level optimization. For instance, dataset condensation (DC) matches network gradients w.r.t. large-real data and small-synthetic data, where the network weights are optimized for multiple steps at each outer iteration. However, existing approaches have their inherent limitations: (1) they are not directly applicable to graphs where the data is discrete; and (2) the condensation process is computationally expensive due to the involved nested optimization. To bridge the gap, we investigate efficient dataset condensation tailored for graph datasets where we model the discrete graph structure as a probabilistic model. We further propose a one-step gradient matching scheme, which performs gradient matching for only one single step without training the network weights. Our theoretical analysis shows this strategy can generate synthetic graphs that lead to lower classification loss on real graphs. Extensive experiments on various graph datasets demonstrate the effectiveness and efficiency of the proposed method. In particular, we are able to reduce the dataset size by 90% while approximating up to 98% of the original performance and our method is significantly faster than multi-step gradient matching (e.g. $15$× in CIFAR10 for synthesizing 500 graphs).  © 2022 ACM.</t>
  </si>
  <si>
    <t>data-efficient learning; graph generation; graph neural networks</t>
  </si>
  <si>
    <t>Compton S.; Greenewald K.; Katz D.; Kocaoglu M.</t>
  </si>
  <si>
    <t>https://www.scopus.com/inward/record.uri?eid=2-s2.0-85136976793&amp;partnerID=40&amp;md5=33ac403f7b64d4c24ac21227b986ab97</t>
  </si>
  <si>
    <t>Entropic causal inference is a recent framework for learning the causal graph between two variables from observational data by finding the information-theoretically simplest structural explanation of the data, i.e., the model with smallest entropy. In our work, we first extend the causal graph identifiability result in the two-variable setting under relaxed assumptions. We then show the first identifiability result using the entropic approach for learning causal graphs with more than two nodes. Our approach utilizes the property that ancestrality between a source node and its descendants can be determined using the bivariate entropic tests. We provide a sound sequential peeling algorithm for general graphs that relies on this property. We also propose a heuristic algorithm for small graphs that shows strong empirical performance. We rigorously evaluate the performance of our algorithms on synthetic data generated from a variety of models, observing improvement over prior work. Finally we test our algorithms on real-world datasets. Copyright © 2022 by the author(s)</t>
  </si>
  <si>
    <t>Hotta K.; Xie H.; Zhang C.</t>
  </si>
  <si>
    <t>https://www.scopus.com/inward/record.uri?eid=2-s2.0-85128736067&amp;doi=10.1049%2fipr2.12518&amp;partnerID=40&amp;md5=830034cf5cb25ec22b94f92ba8183212</t>
  </si>
  <si>
    <t>In this paper, the problem of clustering data points that lie near or on a union of independent low-dimensional subspaces is addressed. To this end, the popular spectral clustering-based algorithms usually follow a two-stage strategy that initially builds an affinity matrix and then applies spectral clustering. However, an inappropriate affinity matrix that does not sufficiently connect data points lying on the same subspace will easily lead to the issue of over-segmentation. To alleviate this issue, building the affinity matrix based on subspace hypotheses generated by an iterative sampling operation according to the Random Cluster Model under the framework of energy minimisation is proposed. Specifically, each hypothesis is generated from a large number of data points by sampling a component in a K-nearest neighbour graph. Extensive experiments on synthetic data and real-world datasets show that the proposed method can improve the connectivity of the affinity matrix and provide competitive results against state-of-the-art methods. © 2022 The Authors. IET Image Processing published by John Wiley &amp; Sons Ltd on behalf of The Institution of Engineering and Technology.</t>
  </si>
  <si>
    <t>SORAG: Synthetic Data Over-Sampling Strategy on Multi-Label Graphs</t>
  </si>
  <si>
    <t>https://www.scopus.com/inward/record.uri?eid=2-s2.0-85138835930&amp;doi=10.3390%2frs14184479&amp;partnerID=40&amp;md5=5ec17e6225cef89354a9566c4921d061</t>
  </si>
  <si>
    <t>In many real-world networks of interest in the field of remote sensing (e.g., public transport networks), nodes are associated with multiple labels, and node classes are imbalanced; that is, some classes have significantly fewer samples than others. However, the research problem of imbalanced multi-label graph node classification remains unexplored. This non-trivial task challenges the existing graph neural networks (GNNs) because the majority class can dominate the loss functions of GNNs and result in the overfitting of the majority class features and label correlations. On non-graph data, minority over-sampling methods (such as the synthetic minority over-sampling technique and its variants) have been demonstrated to be effective for the imbalanced data classification problem. This study proposes and validates a new hypothesis with unlabeled data over-sampling, which is meaningless for imbalanced non-graph data; however, feature propagation and topological interplay mechanisms between graph nodes can facilitate the representation learning of imbalanced graphs. Furthermore, we determine empirically that ensemble data synthesis through the creation of virtual minority samples in the central region of a minority and generation of virtual unlabeled samples in the boundary region between a minority and majority is the best practice for the imbalanced multi-label graph node classification task. Our proposed novel data over-sampling framework is evaluated using multiple real-world network datasets, and it outperforms diverse, strong benchmark models by a large margin. © 2022 by the authors.</t>
  </si>
  <si>
    <t>data over-sampling; generative adversarial network; graph convolutional network; imbalanced data classification; remote sensing; semi-supervised learning</t>
  </si>
  <si>
    <t>Jiang C.; Ngo V.; Chapman R.; Yu Y.; Liu H.; Jiang G.; Zong N.</t>
  </si>
  <si>
    <t>https://www.scopus.com/inward/record.uri?eid=2-s2.0-85134339757&amp;doi=10.2196%2f38584&amp;partnerID=40&amp;md5=fd9d679079541a1a30cc4a6ba0e81356</t>
  </si>
  <si>
    <t>Background: Multiple types of biomedical associations of knowledge graphs, including COVID-19-related ones, are constructed based on co-occurring biomedical entities retrieved from recent literature. However, the applications derived from these raw graphs (eg, association predictions among genes, drugs, and diseases) have a high probability of false-positive predictions as co-occurrences in the literature do not always mean there is a true biomedical association between two entities. Objective: Data quality plays an important role in training deep neural network models; however, most of the current work in this area has been focused on improving a model's performance with the assumption that the preprocessed data are clean. Here, we studied how to remove noise from raw knowledge graphs with limited labeled information. Methods: The proposed framework used generative-based deep neural networks to generate a graph that can distinguish the unknown associations in the raw training graph. Two generative adversarial network models, NetGAN and Cross-Entropy Low-rank Logits (CELL), were adopted for the edge classification (ie, link prediction), leveraging unlabeled link information based on a real knowledge graph built from LitCovid and Pubtator. Results: The performance of link prediction, especially in the extreme case of training data versus test data at a ratio of 1:9, demonstrated that the proposed method still achieved favorable results (area under the receiver operating characteristic curve &gt;0.8 for the synthetic data set and 0.7 for the real data set), despite the limited amount of testing data available. Conclusions: Our preliminary findings showed the proposed framework achieved promising results for removing noise during data preprocessing of the biomedical knowledge graph, potentially improving the performance of downstream applications by providing cleaner data. © Chao Jiang, Victoria Ngo, Richard Chapman, Yue Yu, Hongfang Liu, Guoqian Jiang, Nansu Zong.</t>
  </si>
  <si>
    <t>adversarial generative network; biomedical; COVID-19; deep denoising; knowledge graph; machine learning; network model; neural network; training data</t>
  </si>
  <si>
    <t>Ren L.; Zhang D.</t>
  </si>
  <si>
    <t>https://www.scopus.com/inward/record.uri?eid=2-s2.0-85137364330&amp;doi=10.3390%2fbuildings12081105&amp;partnerID=40&amp;md5=d0a82e7997717f3fdf3a6ac669bcd4f4</t>
  </si>
  <si>
    <t>Engineering data, including product data-conversion networks and software dependency networks, are very important for the long-term preservation of product information. With the explosive growth of data in recent years, product information has become increasingly diversified and complex, which poses new challenges to the long-term preservation of product data. A better understanding of the functions of complex networks can help us take more effective measures to maintain and control such complex systems, and then adopt more effective methods to achieve life cycle management. It is currently difficult for traditional heuristic methods to deal with such large-scale complex systems. In recent years, however, the use of graph neural networks to identify key nodes attracted widespread attention, but this requires a large amount of training data. It is difficult to obtain large-scale relational data and establish identification models in engineering fields. Combining a graph convolution network with a data-mining method, a key node identification method in a graph convolution network based on data mining is proposed. The method first determines the type of complex network according to the power-law distribution and centrality of the network and then uses the corresponding evolutionary model to generate a large-scale synthetic network to effectively train the model. The experimental results from two real networks show that this method improves the identification performance of key nodes by using synthetic data with the same characteristics as the real network, and provides a new perspective for product life cycle management. © 2022 by the authors.</t>
  </si>
  <si>
    <t>complex networks; engineering data networks; graph convolutional networks; product’s life cycle</t>
  </si>
  <si>
    <t>MandravickaitĖ J.; SongailaitĖ M.; GvozdovaitĖ V.; KalinauskaitĖ D.; KrilaviČius T.</t>
  </si>
  <si>
    <t>Towards Synthetic Social Media Data</t>
  </si>
  <si>
    <t>https://www.scopus.com/inward/record.uri?eid=2-s2.0-85143134120&amp;doi=10.22364%2fbjmc.2022.10.3.10&amp;partnerID=40&amp;md5=451464f3003564017619702a76ab0ffa</t>
  </si>
  <si>
    <t>There is an increasing need for training and testing data that can be used for the development of technologies and research. Due to data protection regulations, a lot of the real-world data – especially the data from social media – becomes unavailable to use. The problem can be solved by generating synthetic data that imitates the properties of real-world data. In this paper, we present Fabulator – a social media generator that combines text and graph structure to be used for the generation of synthetic data and, in the future, for the simulation of various events on social media. Copyright © 2022 the American Physiological Society.</t>
  </si>
  <si>
    <t>English; NLG; SNS; social media; synthetic data</t>
  </si>
  <si>
    <t>Huang Y.; Zhang H.; Hong R.; Liang X.; Zhang C.; Yu D.</t>
  </si>
  <si>
    <t>MetaLogic: Logical Reasoning Explanations with Fine-Grained Structure</t>
  </si>
  <si>
    <t>https://www.scopus.com/inward/record.uri?eid=2-s2.0-85149434888&amp;partnerID=40&amp;md5=fc7423274252f095e1e0c5b40b2c1599</t>
  </si>
  <si>
    <t>In this paper, we propose a comprehensive benchmark to investigate models' logical reasoning capabilities in complex real-life scenarios. Current explanation datasets often employ synthetic data with simple reasoning structures. Therefore, it cannot express more complex reasoning processes, such as the rebuttal to a reasoning step and the degree of certainty of the evidence. To this end, we propose a comprehensive logical reasoning explanation form. Based on the multi-hop chain of reasoning, the explanation form includes three main components: (1) The condition of rebuttal that the reasoning node can be challenged; (2) Logical formulae that uncover the internal texture of reasoning nodes; (3) Reasoning strength indicated by degrees of certainty. The fine-grained structure conforms to the real logical reasoning scenario, better fitting the human cognitive process but, simultaneously, is more challenging for the current models. We evaluate the current best models' performance on this new explanation form. The experimental results show that generating reasoning graphs remains a challenging task for current models, even with the help of giant pre-trained language models. © 2022 Association for Computational Linguistics.</t>
  </si>
  <si>
    <t>7th China Conference on Knowledge Graph and Semantic Computing Evaluations, CCKS 2022</t>
  </si>
  <si>
    <t>https://www.scopus.com/inward/record.uri?eid=2-s2.0-85144196333&amp;partnerID=40&amp;md5=4dfc45f1bc44ed6bfd8db50bb2fd1dc9</t>
  </si>
  <si>
    <t>The proceedings contain 25 papers. The special focus in this conference is on Knowledge Graph and Semantic Computing Evaluations. The topics include: High Quality Article Recognition Based on Ernie and Knowledge Mapping; high-Quality Article Classification Based on Named Entities of Knowledge Graph and Multi-head Attention; implementation and Optimization of Graph Computing Algorithms Based on Graph Database; knowledge Graph Construction for Foreign Military Unmanned Systems; knowledge-Enhanced Classification: A Scheme for Identification of High-Quality Articles; Learning Seq2Seq Model with Dynamic Schema Linking for NL2SQL; learning to Answer Complex Visual Questions from Multi-View Analysis; A Prompt-Based UIE Framework; multi-modal Representation Learning with Self-adaptive Threshold for Commodity Verification; a Coarse Pipeline to Solve Hierarchical Multi-answer Questions with Conditions; multimodal Representation Learning-Based Product Matching; relation Extraction as Text Matching: A Scheme for Multi-hop Knowledge Base Question Answering; research on Salient Reasoning for Commonsense Knowledge; Retrieval-Then-Parsing: A Two-Stage Model for SQL Generation in Financial Domain; Structured Design Solves Multiple Tables of NL2SQL; The Method for Plausibility Evaluation of Knowledge Triple Based on QA; a Pipeline-Based Multimodal Military Event Argument Extraction Framework; a Search-Enhanced Path Mining and Ranking Method for Cross-lingual Knowledge Base Question Answering; a Translation Model-Based Question Answering Approach over Cross-Lingual Knowledge Graphs; cascaded Solution for Multi-domain Conditional Question Answering with Multiple-Span Answers; compound Property Prediction Based on Multiple Different Molecular Features and Ensemble Learning; diagram Question Answering with Joint Training and Bottom-Up and Top-Down Attention; element Information Enhancement for Diagram Question Answering with Synthetic Data.</t>
  </si>
  <si>
    <t>Dehghanpour-Sahron J.; Mahdavi-Amiri N.</t>
  </si>
  <si>
    <t>https://www.scopus.com/inward/record.uri?eid=2-s2.0-85097011743&amp;doi=10.1007%2fs10288-020-00445-y&amp;partnerID=40&amp;md5=e2a8bda84e8b788cdadad97c3e894683</t>
  </si>
  <si>
    <t>Partitioning a given data-set into subsets based on similarity among the data is called clustering. Clustering is a major task in data mining and machine learning having many applications such as text retrieval, pattern recognition, and web mining. Here, we briefly review some clustering related problems (k-means, normalized k-cut, orthogonal non-negative matrix factorization, ONMF, and isoperimetry) and describe their connections. We formulate the relaxed mean version of the isoperimetry problem as an optimization problem with non-negative orthogonal constraints. We first make use of a gradient-based optimization algorithm to solve this kind of a problem, and then apply a post-processing technique to extract a solution of the clustering problem. Also, we propose a simplified approach to improve upon solution of the 2-dimensional clustering problem, using the N-nearest neighbor graph. Inspired by this technique, we apply a multilevel method for clustering a given data-set to reduce the size of the problem by grouping a number of similar vertices. The number is determined based on two values, namely, the maximum and the average of the edge weights of the vertices connected to a selected vertex. In addition, using the connections between ONMF and k-means and between k-means and the isoperimetry problem, we propose an algorithm to solve the ONMF problem. A comparative performance analysis of our approach with other related methods shows outperformance of our approach, in terms of the obtained misclassification error rate and Rand index, on both benchmark and randomly generated problems as well as hard synthetic data-sets. © 2020, Springer-Verlag GmbH Germany, part of Springer Nature.</t>
  </si>
  <si>
    <t>Xu K.; Singh R.; Bilen H.; Fiore M.; Marina M.K.; Wang Y.</t>
  </si>
  <si>
    <t>https://www.scopus.com/inward/record.uri?eid=2-s2.0-85129966536&amp;doi=10.1109%2fPerCom53586.2022.9762395&amp;partnerID=40&amp;md5=73f3f95b35995e1cfaacfe8f4b0bcb12</t>
  </si>
  <si>
    <t>Mobile network traffic data offers unprecedented opportunities for innovative studies within and beyond networking. However, progress is hindered by the very limited access that the research community at large has to the real-world mobile network data that is needed to develop and dependably test mobile traffic data-driven solutions. As a contribution to overcome this barrier, we propose CartaGenie, a generator of realistic mobile traffic snapshots at city scale. Taking a deep generative modeling approach and through a tailored conditional generator design, CartaGenie can synthesize high-fidelity and artifact-free spatial traffic snapshots using only contextual information about the target geographical region that is easily found in public repositories. Hence, CartaGenie allows researchers to create their own realistic datasets of spatial traffic from open data about their region of interest. Experiments with real-world mobile traffic measurements collected in multiple metropolitan areas show that CartaGenie can produce dependable network traffic loads for areas where no prior traffic information is available, significantly outperforming a comprehensive set of benchmarks. Moreover, tests with practical case studies demonstrate that the synthetic data generated by CartaGenie is as good as real data in supporting diverse research-oriented mobile traffic data-driven applications. © 2022 IEEE.</t>
  </si>
  <si>
    <t>Deep generative models; Mobile network traffic data; Synthetic data generation; Traffic snapshots</t>
  </si>
  <si>
    <t>Vandromme M.; Petiton S.G.</t>
  </si>
  <si>
    <t>Efficient Parallel PageRank Algorithm for Network Analysis</t>
  </si>
  <si>
    <t>https://www.scopus.com/inward/record.uri?eid=2-s2.0-85136195547&amp;doi=10.1109%2fIPDPSW55747.2022.00188&amp;partnerID=40&amp;md5=c2bc784f9e6e136db35253cfe7fa076a</t>
  </si>
  <si>
    <t>We propose an efficient version of the PageRank algorithm for adjacency matrices, that reduces the complexity by a factor two. This method computes the A{T}x operation on the transpose matrix A{T} without having to explicitly normalize and transpose the matrix. We implement the method using standard row-major and column-major matrix storage formats. We perform experiments with parallel implementations in OpenMP, on synthetic data as well as on matrices extracted from large-scale graphs. The experiments are done on two different Intel processors from recent generations. The columnmajor storage format version of our method shows good scaling and outperforms the standard PageRank in a majority of cases, even when not considering the preprocessing burden in the latter.  © 2022 IEEE.</t>
  </si>
  <si>
    <t>high performance computing; network analysis; PageRank algorithm; parallel computing; sparse matrix vector product</t>
  </si>
  <si>
    <t>Filshtein T.J.; Li X.; Zimmerman S.C.; Ackley S.F.; Glymour M.M.; Power M.C.</t>
  </si>
  <si>
    <t>https://www.scopus.com/inward/record.uri?eid=2-s2.0-85112592497&amp;doi=10.1097%2fEDE.0000000000001373&amp;partnerID=40&amp;md5=038d3a267d1af7015db3df3cbfa9d4a0</t>
  </si>
  <si>
    <t>Background: Integrating results from multiple samples is often desirable, but privacy restrictions may preclude full data pooling, and most datasets do not include fully harmonized variable sets. We propose a simulation-based method leveraging partial information across datasets to guide creation of synthetic data based on explicit assumptions about the underlying causal structure that permits pooled analyses that adjust for all desired confounders in the context of privacy restrictions. Methods: This proof-of-concept project uses data from the Health and Retirement Study (HRS) and Atherosclerosis Risk in Communities (ARIC) study. We specified an estimand of interest and a directed acyclic graph (DAG) summarizing the presumed causal structure for the effect of glycated hemoglobin (HbA1c) on cognitive change. We derived publicly reportable statistics to describe the joint distribution of each variable in our DAG. These summary estimates were used as data-generating rules to create synthetic datasets. After pooling, we imputed missing covariates in the synthetic datasets and used the synthetic data to estimate the pooled effect of HbA1c on cognitive change, adjusting for all desired covariates. Results: Distributions of covariates and model coefficients and associated standard errors for our model estimating the effect of HbA1c on cognitive change were similar across cohort-specific original and preimputation synthetic data. The estimate from the pooled synthetic incorporates control for confounders measured in either original dataset. Discussion: Our approach has advantages over meta-analysis or individual-level pooling/data harmonization when privacy concerns preclude data sharing and key confounders are not uniformly measured across datasets.  © 2021 Wolters Kluwer Health, Inc. All rights reserved.</t>
  </si>
  <si>
    <t>Data harmonization; Data pooling; Privacy; Simulation</t>
  </si>
  <si>
    <t>Zheng R.; Lyzinski V.; Priebe C.E.; Tang M.</t>
  </si>
  <si>
    <t>https://www.scopus.com/inward/record.uri?eid=2-s2.0-85130340807&amp;doi=10.1080%2f10618600.2022.2060238&amp;partnerID=40&amp;md5=8c9dcbfbeee105d6bf9fbe06890eb560</t>
  </si>
  <si>
    <t>Given a network and a subset of interesting vertices whose identities are only partially known, the vertex nomination problem seeks to rank the remaining vertices in such a way that the interesting vertices are ranked at the top of the list. An important variant of this problem is vertex nomination in the multiple graphs setting. Given two graphs G 1, G 2 with common vertices and a vertex of interest (Formula presented.), we wish to rank the vertices of G 2 such that the vertices most similar to x are ranked at the top of the list. The current article addresses this problem and proposes a method that first applies adjacency spectral graph embedding to embed the graphs into a common Euclidean space, and then solves a penalized linear assignment problem to obtain the nomination lists. Since the spectral embedding of the graphs are only unique up to orthogonal transformations, we present two approaches to eliminate this potential nonidentifiability. One approach is based on orthogonal Procrustes and is applicable when there are enough vertices with known correspondence between the two graphs. Another approach uses adaptive point set registration and is applicable when there are few or no vertices with known correspondence. We show that our nomination scheme leads to accurate nomination under a generative model for pairs of random graphs that are approximately low-rank and possibly with pairwise edge correlations. We illustrate our algorithm’s performance through simulation studies on synthetic data as well as analysis of a high-school friendship network and analysis of transition rates between web pages on the Bing search engine. Supplementary materials for this article are available and include R code, data, and an appendix with detailed proofs. © 2022 American Statistical Association, Institute of Mathematical Statistics, and Interface Foundation of North America.</t>
  </si>
  <si>
    <t>Forrest R.; Krofcheck D.; John E.; Galloway H.; Sorensen A.; Jameson C.; Aubry C.; Prasadan A.; Galasso J.; Goodman E.</t>
  </si>
  <si>
    <t>https://www.scopus.com/inward/record.uri?eid=2-s2.0-85135417587&amp;doi=10.1117%2f12.2619020&amp;partnerID=40&amp;md5=83365f22b0d333a541a6e07d2855c651</t>
  </si>
  <si>
    <t>Inspection of commerce entering the country is currently an onerous, custom and extremely labor-intensive process. The imaging of commerce with 2D x-rays aids the ability to interdict certain items entering the country, reducing risk and increasing national security. We use a variety of ML techniques together to develop automated threat recognition (ATR) algorithms to assist this process. The challenge is to develop a system that incorporates several approaches simultaneously and ensemble results to improve overall performance. We employ several algorithmic techniques to solve the problem. Generally, we have synthetic data generation techniques that can rapidly spin up datasets that are then employed to train ML models. GANs are used to refine the synthetic data to resemble reality more faithfully; thresholding objectively improves top line S/N; semi-supervised methods are used to handle data sparsity and leverage any available unlabeled stream of commerce (SOC) data. Suites of object detectors infer in parallel using common techniques and results are then ensembled using a novel graph-based method. Similarity and change detection along with topological data analysis may leverage historical data to investigate anomalies. This paper is an overview of our approach, generating synthetic data and attempting to unite these ML methods to provide the highest performance for ATR of 2D x-ray data.  © COPYRIGHT SPIE. Downloading of the abstract is permitted for personal use only.</t>
  </si>
  <si>
    <t>NII; Object Detection; Synthetic Data; X-Ray</t>
  </si>
  <si>
    <t>Gan H.-S.; Ramlee M.H.; Al-Rimy B.A.S.; Lee Y.-S.; Akkaraekthalin P.</t>
  </si>
  <si>
    <t>Hierarchical Knee Image Synthesis Framework for Generative Adversarial Network: Data From the Osteoarthritis Initiative</t>
  </si>
  <si>
    <t>https://www.scopus.com/inward/record.uri?eid=2-s2.0-85130437854&amp;doi=10.1109%2fACCESS.2022.3175506&amp;partnerID=40&amp;md5=29da9228751e7a1888b7a60d17268dc9</t>
  </si>
  <si>
    <t>Medical images synthesis is useful to address persistent issues such as the lack of training data diversity and inflexibility of traditional data augmentation faced by medical image analysis researchers when developing their deep learning models. Generative adversarial network (GAN) can generate realistic image to overcome the abovementioned problems. We proposed a GAN model with hierarchical framework (HieGAN) to generate high-quality synthetic knee images as a prerequisite to enable effective training data augmentation for deep learning applications. During the training, the proposed framework embraced attention mechanism before the 256 ×256 scale in generator and discriminator to capture salient information of knee images. Then, a novel pixelwise-spectral normalization configuration was implemented to stabilize the training performance of HieGAN. We evaluated the proposed HieGAN on large scale knee image dataset by using Am Score and Mode Score. The results showed that HieGAN outperformed all relevant state-of-art. Hence, HieGAN can potentially serve as an important milestone to promote future development of more robust deep learning models for knee image segmentation. Future works should extend the image synthesis evaluation to clinical-related Visual Turing Test and synthetic data augmentation for deep learning segmentation task.  © 2013 IEEE.</t>
  </si>
  <si>
    <t>Biomedical image processing; Generative adversarial network; Image synthesis; Knee</t>
  </si>
  <si>
    <t>3rd International Conference on Sustainable Advanced Computing, ICSAC 2021</t>
  </si>
  <si>
    <t>https://www.scopus.com/inward/record.uri?eid=2-s2.0-85128649803&amp;partnerID=40&amp;md5=68f6465d975923635e70cc1412b25162</t>
  </si>
  <si>
    <t>The proceedings contain 53 papers. The special focus in this conference is on Sustainable Advanced Computing. The topics include: A Synthetic Data Generation Approach Using Correlation Coefficient and Neural Networks; An Efficient Biometric Approach of the Attendance Monitoring System for Mahatma Gandhi National Rural Employment Guarantee Act (MGNREGA); Adopting Distance Learning Approaches to Deliver Online Creative Arts Education During the COVID-19 Pandemic; demography-Based Hybrid Recommender System for Movie Recommendations; SCAA—Sensitivity Context Aware Anonymization—An Automated Hybrid PPUDP Technique for Big Data; A Review on Synchronization and Localization of Devices in WSN; An Integrated Approach of 4G LTE and DSRC (IEEE 802.11p) for Internet of Vehicles (IoV) by Using a Novel Cluster-Based Efficient Radio Interface Selection Algorithm to Improve Vehicular Network (VN) Performance; DPETAs: Detection and Prevention of Evil Twin Attacks on Wi-Fi Networks; detection of DoS Attacks on Wi-Fi Networks Using IoT Sensors; application of Blockchain in Different Segments of Supply Chain Management; A Framework to Restrict COVID-19 like Epidemic Converting to Pandemic Using Blockchain; An Optimized Algorithm for Selecting Stable Multipath Routing in MANET Using Proficient Multipath Routing and Glowworm Detection Techniques; explorations in Graph-Based Ranking Algorithms for Automatic Text Summarization on Konkani Texts; an IoT-Based Model for Pothole Detection; a Multilayered Hybrid Access Control Model for Cloud-Enabled Medical Internet of Things; review of Security Gaps in Optimal Path Selection in Unmanned Aerial Vehicles Communication; comparison of Radar Micro Doppler Signature Analysis Using Short Time Fourier Transform and Discrete Wavelet Packet Transform; impeachment and Weak Supervision; ECG-Based Personal Identification System.</t>
  </si>
  <si>
    <t>2022 IEEE International Conference on Prognostics and Health Management, ICPHM 2022</t>
  </si>
  <si>
    <t>https://www.scopus.com/inward/record.uri?eid=2-s2.0-85134733442&amp;partnerID=40&amp;md5=79cc5c820fecf1cec4c98bf234c4a4ec</t>
  </si>
  <si>
    <t>The proceedings contain 32 papers. The topics discussed include: gradient harmonized loss: improving the performance of intelligent diagnosis models in large imbalance scenarios; investigating the effect of event-triggered control and nonlinear actuator dynamics on spacecraft attitude stabilization; fault-tolerant consensus control for hybrid multi-agent systems; a novel fault diagnosis method based on semisupervised contrast learning; research on monitoring alarm and localization of weights loading on composite materials; low dimensional synthetic data generation for improving data driven prognostic models; health performance interval prediction of pumped storage unit based on multi-objective optimization; visibility graphs, persistent homology, and rolling element bearing fault detection; deep feature learning based fault detection with high-frequency signals; and on the number of bounded renewals in two-unit systems with critical components.</t>
  </si>
  <si>
    <t>Esmaili A.; Farzi S.</t>
  </si>
  <si>
    <t>Effective synthetic data generation for fake user detection</t>
  </si>
  <si>
    <t>https://www.scopus.com/inward/record.uri?eid=2-s2.0-85106157574&amp;doi=10.1109%2fCSICC52343.2021.9420570&amp;partnerID=40&amp;md5=04b5eeaf7f3146b6a2186a1ebd450982</t>
  </si>
  <si>
    <t>Nowadays, with the pervasiveness of social networks among the people, the possibility of publishing incorrect information has increased more than before. Therefore, detecting fake news and users who publish this incorrect information is of great importance. This paper has proposed a system based on combining context-user and context-network features with the help of a conditional generative adversarial network for balancing the data set to detect users who publish incorrect information in the Persian language on Twitter. Moreover, by conducting numerous experiments, the proposed system in terms of evaluation metrics compared to its competitors, has produced good performance results in detecting fake users.  © 2021 IEEE.</t>
  </si>
  <si>
    <t>Fake user detection; Generative adversarial network; Graph; Social Networks</t>
  </si>
  <si>
    <t>Höhener P.; Imfeld G.</t>
  </si>
  <si>
    <t>https://www.scopus.com/inward/record.uri?eid=2-s2.0-85097683425&amp;doi=10.1016%2fj.chemosphere.2020.129232&amp;partnerID=40&amp;md5=2ad6f969890630d68b00148b4d8f115d</t>
  </si>
  <si>
    <t>In multi-elemental compound-specific isotope analysis the lambda (Λ) value expresses the isotope shift of one element versus the isotope shift of a second element. In dual-isotope plots, the slope of the regression lines typical reveals the footprint of the underlying isotope effects allowing to distinguish degradation pathways of an organic contaminant molecule in the environment. While different conventions and fitting procedures are used in the literature to determine Λ, it remains unclear how they affect the magnitude of Λ. Here we generate synthetic data for benzene δ2H and δ13C with two enrichment factors εH and εC using the Rayleigh equation to examine how different conventions and linear fitting procedures yield distinct Λ. Fitting an error-free data set in a graph plotting the δ2H versus δ13C overestimates Λ by 0.225%⋅εH/εC, meaning that if εH/εCis larger than 22, Λ is overestimated by more than 5%. The correct fitting of Λ requires a natural logarithmic transformation of δ2H versus δ13C data. Using this transformation, the ordinary linear regression (OLR), the reduced major-axis (RMA) and the York methods find the correct Λ, even for large εH/εC. Fitting a dataset with synthetic data with typical random errors let to the same conclusion and positioned the suitability of each regression method. We conclude that fitting of non-transformed δ values should be discontinued. The validity of most previous Λ values is not compromised, although previously obtained Λ values for large εH/εC could be corrected using our error estimation to improve comparison. © 2020 Elsevier Ltd</t>
  </si>
  <si>
    <t>Assessment; Bioremediation; Pollution; Stable isotopes</t>
  </si>
  <si>
    <t>Bansal R.; Peterson B.S.</t>
  </si>
  <si>
    <t>Use of random matrix theory in the discovery of resting state brain networks</t>
  </si>
  <si>
    <t>https://www.scopus.com/inward/record.uri?eid=2-s2.0-85098739460&amp;doi=10.1016%2fj.mri.2020.12.004&amp;partnerID=40&amp;md5=ae298c56b5416eaf76143ea4a11f09f2</t>
  </si>
  <si>
    <t>Connectomics identifies brain networks in vivo in resting state functional MRI. However, the presence of noise produces spurious identification of brain networks, which have low test-retest reliability. A Network Based Statistics approach to network identification has been previously proposed that affords much better statistical power relative to Bonferroni method but nevertheless provides a sufficiently conservative, family-wise control for false positives. We propose the use of Random Matrix Theory (RMT) to discover brain networks and to associate those networks with demographic and clinical variables. We parcellated the brain into cortical and subcortical regions using either an anatomical or a functional brain atlas. We applied RMT to study functional connectivity across brain regions by first computing the correlation matrix for time courses in those brain regions and then identifying eigenvalues that deviate from the theoretical random distribution that RMT predicts, on the assumption that real brain networks would produce eigenvalues that differ significantly from the random distribution. We assessed the specificity and test-retest reliability of identified networks through application of this RMT-based approach to (1) synthetic data generated under the null-hypothesis, (2) resting state functional MRI data from 4 real-world cohorts of patients and healthy controls, and (3) synthetic data generated by the addition of increasing amounts of noise to real-world datasets. Our findings showed that RMT method was robust to the atlas used for parcellating the brain and did not discover a brain network in synthetic data when in fact a network was not present (i.e., specificity was high); RMT-identified networks in the real-world dataset had high test-retest reliability; and RMT-based method consistently discovered the same network in the presence of increasing noise in the real-world dataset. © 2020 Elsevier Inc.</t>
  </si>
  <si>
    <t>Connectome; Graph theory; Network based statistics; Random matrices; Resting state fMRI</t>
  </si>
  <si>
    <t>Schröder M.; Jilek C.; Dengel A.</t>
  </si>
  <si>
    <t>Spread2RML: Constructing Knowledge Graphs by Predicting RML Mappings on Messy Spreadsheets</t>
  </si>
  <si>
    <t>https://www.scopus.com/inward/record.uri?eid=2-s2.0-85120882931&amp;doi=10.1145%2f3460210.3493544&amp;partnerID=40&amp;md5=fc65bbbc1f664f38b2c9d9aa86203c4b</t>
  </si>
  <si>
    <t>The RDF Mapping Language (RML) allows to map semi-structured data to RDF knowledge graphs. Besides CSV, JSON and XML, this also includes the mapping of spreadsheet tables. Since spreadsheets have a complex data model and can become rather messy, their mapping creation tends to be very time consuming. In order to reduce such efforts, this paper presents Spread2RML which predicts RML mappings on messy spreadsheets. This is done with an extensible set of RML object map templates which are applied for each column based on heuristics. In our evaluation, three datasets are used ranging from very messy synthetic data to spreadsheets from data.gov which are less messy. We obtained first promising results especially with regard to our approach being fully automatic and dealing with rather messy data.  © 2021 ACM.</t>
  </si>
  <si>
    <t>knowledge graph; mapping generation; rml; spreadsheet</t>
  </si>
  <si>
    <t>Ayday E.; Yoo Y.; Halimi A.</t>
  </si>
  <si>
    <t>ShareTrace: An iterative message passing algorithm for efficient and effective disease risk assessment on an interaction graph</t>
  </si>
  <si>
    <t>https://www.scopus.com/inward/record.uri?eid=2-s2.0-85112378894&amp;doi=10.1145%2f3459930.3469553&amp;partnerID=40&amp;md5=c2fcbca3bd10e7fd03f41b7c71475e49</t>
  </si>
  <si>
    <t>We propose a novel privacy-preserving COVID-19 risk assessment algorithm that can make a fundamental contribution to the development of the next generation resilient public health and health care systems. The proposed algorithm, ShareTrace, uses a hyperlocal interaction graph to capture direct and indirect physical interactions among users. Combining user-reported symptoms that are propagated through the hyperlocal interaction graph via a novel message passing algorithm, ShareTrace is able to pick up early warning signals based on the combination of interactions with others and symptoms. The proposed algorithm is inspired by the belief propagation algorithm and iterative decoding of low-density parity-check codes over factor graphs. Our evaluation on synthetic data shows the efficiency and efficacy of the proposed solution. © 2021 ACM.</t>
  </si>
  <si>
    <t>belief-propagation algorithm; COVID-19; digital contact tracing; hyperlocal interaction graph; privacy</t>
  </si>
  <si>
    <t>Zhang Y.; Ding S.; Wang L.; Wang Y.; Ding L.</t>
  </si>
  <si>
    <t>https://www.scopus.com/inward/record.uri?eid=2-s2.0-85093950486&amp;doi=10.1007%2fs10489-020-01926-7&amp;partnerID=40&amp;md5=08fa600e0c3c016852495da83af8496f</t>
  </si>
  <si>
    <t>Clustering is a typical unsupervised data analysis method, which divides a given data set without label information into multiple clusters. The data on each cluster has a great deal of association, which can be used as the preprocessing stage of other algorithms or for further association analysis. Therefore, clustering plays an important role in a wide range of fields. Chameleon is a clustering algorithm that combines the relative interconnectivity and relative closeness to find clusters of arbitrary shape with high quality. However, the graph-partitioning technology hMETIS algorithm used in the algorithm is difficult to operate and easy to cause uncertainty of results. In addition, the final number of clusters need to be specified by user as a parameter to stop merging, which is difficult to determine without prior information. Aiming at these shortcomings, Chameleon algorithm based on mutual k-nearest neighbors (MChameleon) is proposed. Firstly, the idea of mutual k-nearest neighbors is introduced to directly generate sub-clusters, which omits the process of partitioning graph. Then, the concept of MC modularity is introduced, which is used to objectively identify the final clustering results. By experiments on artificial data sets and UCI data sets, we compared MChameleon with the original Chameleon algorithm, the improved AChameleon algorithm and the classic K-Means, DBSCAN, BIRCH algorithm in accuracy. Experimental results on data sets show that Chameleon algorithm based on mutual k-nearest neighbors has great advantages and is feasible. © 2020, Springer Science+Business Media, LLC, part of Springer Nature.</t>
  </si>
  <si>
    <t>Chameleon algorithm; Clustering analysis; Modularity; Mutual k-nearest neighbors</t>
  </si>
  <si>
    <t>Aimone J.B.; Lehoucq R.; Severa W.; Smith J.D.</t>
  </si>
  <si>
    <t>https://www.scopus.com/inward/record.uri?eid=2-s2.0-85128690837&amp;doi=10.1109%2fICRC53822.2021.00019&amp;partnerID=40&amp;md5=7a0dcc10062eeb0a3c6f435fa7f7620c</t>
  </si>
  <si>
    <t>Recent advances in neuromorphic algorithm development have shown that neural inspired architectures can efficiently solve scientific computing problems including graph decision problems and partial-integro differential equations (PIDEs). The latter requires the generation of a large number of samples from a stochastic process. While the Monte Carlo approximation of the solution of the PIDEs converges with an increasing number of sampled neuromorphic trajectories, the fidelity of samples from a given stochastic process using neuromorphic hardware requires verification. Such an exercise increases our trust in this emerging hardware and works toward unlocking its energy and scaling efficiency for scientific purposes such as synthetic data generation and stochastic simulation. In this paper, we focus our verification efforts on a one-dimensional Ornstein- Uhlenbeck stochastic differential equation. Using a discrete-time Markov chain approximation, we sample trajectories of the stochastic process across a variety of parameters on an Intel 8- Loihi chip Nahuku neuromorphic platform. Using relative entropy as a verification measure, we demonstrate that the random samples generated on Loihi are, in an average sense, acceptable. Finally, we demonstrate how Loihi's fidelity to the distribution changes as a function of the parameters of the Ornstein- Uhlenbeck equation, highlighting a trade-off between the lower-precision random number generation of the neuromorphic platform and our algorithm's ability to represent a discrete-time Markov chain.  © 2021 IEEE.</t>
  </si>
  <si>
    <t>data verification; neuromorphic computing; random walks; spiking neural networks; stochastic processes</t>
  </si>
  <si>
    <t>He K.; Yao L.; Zhang J.; Li Y.; Li C.</t>
  </si>
  <si>
    <t>Construction of genealogical knowledge graphs from obituaries: Multitask neural network extraction system</t>
  </si>
  <si>
    <t>https://www.scopus.com/inward/record.uri?eid=2-s2.0-85112096869&amp;doi=10.2196%2f25670&amp;partnerID=40&amp;md5=c3e920519462a3561f42060ee5aac59c</t>
  </si>
  <si>
    <t>EHR; Genealogical knowledge graph; Genealogy; Information extraction; Neural network</t>
  </si>
  <si>
    <t>Gautier A.; Stephens A.; Lacerda B.; Hawes N.; Wooldridge M.</t>
  </si>
  <si>
    <t>Negotiated Path Planning for Non-Cooperative Multi-Robot Systems</t>
  </si>
  <si>
    <t>https://www.scopus.com/inward/record.uri?eid=2-s2.0-85134314808&amp;partnerID=40&amp;md5=f5110c80996949cbfb5e8c777f474b47</t>
  </si>
  <si>
    <t>As autonomous systems are deployed at a large scale in both public and private spaces, robots owned and operated by competing organisations will be required to interact. Interactions in such settings will be inherently non-cooperative. In this paper, we address the problem of non-cooperative multi-agent path finding. We design an auction mechanism that allows a group of agents to reach their goals whilst minimising the total cost of the system. In particular, we aim to design a mechanism such that rational agents are incentivised to participate. Our privileged knowledge auction consists of a modified combinatorial Vickrey-Clarke-Groves auction. Our approach limits the initial number of bids in the Vickrey-Clarke-Groves auction, then uses the privileged knowledge of the auctioneer to identify and solve path conflicts. In order to maintain agent autonomy in the non-cooperative system, individual agents are provided with final say over paths. The mechanism provides a heuristic method to maximise social welfare whilst remaining computationally efficient. We also consider single-agent bid generation and propose a similarity metric to use in dissimilar shortest path generation. We then show this bid generation method increases the success likelihood of both the limited-bid VCG auction and our novel approach on synthetic data. Our experiments with synthetic data outperform existing work on the non-cooperative problem. © 2022 International Foundation for Autonomous Agents and Multiagent Systems (www.ifaamas.org). All rights reserved</t>
  </si>
  <si>
    <t>Auctions; Multi-agent path finding; Multi-agent systems</t>
  </si>
  <si>
    <t>Ma P.; Ji Z.; Pang Q.; Wang S.</t>
  </si>
  <si>
    <t>NoLeaks: Differentially Private Causal Discovery under Functional Causal Model</t>
  </si>
  <si>
    <t>https://www.scopus.com/inward/record.uri?eid=2-s2.0-85132631893&amp;doi=10.1109%2fTIFS.2022.3184263&amp;partnerID=40&amp;md5=3181e51efefcf60115c0598b72317b22</t>
  </si>
  <si>
    <t>Causal inference is widely used in clinical research, economic analysis, and other fields. As is the case with many statistical data, the findings of causal discovery (i.e., causal graph) might leak demographic information of participants. For example, a causal link between one genome and a rare disease can reveal the participation of a minority patient in genome-wide association studies. To date, differential privacy has served as the de facto foundation for guaranteeing the privacy of causal discovery algorithms. However, existing approaches to protecting causal discovery from privacy leakage rely heavily on private conditional independence tests, which generate a considerable amount of noise and are thus prone to inaccuracy. As a result of their limited accuracy and scalability, they are insufficient for non-trivial datasets (e.g., those with more than ten variables). In this paper, we advocate a novel focus on enforcing privacy for causal discovery algorithms based on functional causal models. First, we propose NoLeaks, a differentially private causal discovery algorithm, which manifests both high accuracy and efficiency compared with prior works. Second, we design a quasi-Newton numerical optimization algorithm for solving NoLeaks in a highly efficient way. Third, we evaluate NoLeaks using both public benchmarks and synthetic data. We observe that NoLeaks achieves comparable performance or even surpasses the state-of-the-art (non-private) approaches. We also find encouraging results that NoLeaks can smoothly scale to large datasets, on which existing works would fail. Through a case study and a downstream application, we observe encouraging results on the versatile usages of NoLeaks. © 2005-2012 IEEE.</t>
  </si>
  <si>
    <t>causal discovery; data mining; data privacy; Differential privacy</t>
  </si>
  <si>
    <t>20th International Conference of the Italian Association for Artificial Intelligence, AIxIA 2021</t>
  </si>
  <si>
    <t>https://www.scopus.com/inward/record.uri?eid=2-s2.0-85135069387&amp;partnerID=40&amp;md5=b054f9046ed69c8c92a1687246fec28f</t>
  </si>
  <si>
    <t>Zhang Y.; Ding S.; Wang Y.; Hou H.</t>
  </si>
  <si>
    <t>https://www.scopus.com/inward/record.uri?eid=2-s2.0-85103670957&amp;doi=10.1007%2fs10489-021-02389-0&amp;partnerID=40&amp;md5=0ca85c298bd81787ea29cc5a7a900569</t>
  </si>
  <si>
    <t>Chameleon algorithm is a hierarchical clustering based on dynamic modeling. It can find high-quality clusters with different shapes, sizes and densities. However, Chameleon algorithm requires user-specifiedkwhen constructing sparse graph, which directly influences the clustering performance. In addition, the graph-partitioning technology used in the original algorithm, hMetis algorithm, is hard to build operation environment, and the number of partitions needs to be specified. These problems are arduous to determine without prior knowledge. In order to overcome the first problem, this paper introduces an improved natural neighbor method to construct a sparse graph, which can reflect the initial sparseness of the data. To address the second problems, this paper proposes a new method of generating sub-clusters in sparse graphs, which is simple and objective. In summary, this paper proposes Chameleon Algorithm Based on Improved Natural Neighbor Graph Generating Sub-clusters (INNGS-Chameleon). This algorithm is tested on 8 synthetic data sets and 10 UCI data sets. The results are compared with the Chameleon algorithm, its improved algorithm and several classic algorithms. The experimental results show that the INNGS-Chameleon algorithm is feasible and effective. © 2021, The Author(s), under exclusive licence to Springer Science+Business Media, LLC, part of Springer Nature.</t>
  </si>
  <si>
    <t>Chameleon algorithm; Clustering analysis; Hierarchical clustering; Natural neighbor</t>
  </si>
  <si>
    <t>Hult L.; Zachariah D.</t>
  </si>
  <si>
    <t>Inference of Causal Effects when Control Variables are Unknown</t>
  </si>
  <si>
    <t>https://www.scopus.com/inward/record.uri?eid=2-s2.0-85163305378&amp;partnerID=40&amp;md5=46b36d86ffe42eb2328625c273002a3b</t>
  </si>
  <si>
    <t>Conventional methods in causal effect inference typically rely on specifying a valid set of control variables. When this set is unknown or misspecified, inferences will be erroneous. We propose a method for inferring average causal effects when all potential confounders are observed, but the control variables are unknown. When the data-generating process belongs to the class of acyclical linear structural causal models, we prove that the method yields asymptotically valid confidence intervals. Our results build upon a smooth characterization of linear directed acyclic graphs. We verify the capability of the method to produce valid confidence intervals for average causal effects using synthetic data, even when the appropriate specification of control variables is unknown. © 2021 Proceedings of Machine Learning Research. All Rights Reserved.</t>
  </si>
  <si>
    <t>Wittig A.; Perevalov A.; Both A.</t>
  </si>
  <si>
    <t>Towards Bridging the Gap Between Knowledge Graphs and Chatbots</t>
  </si>
  <si>
    <t>https://www.scopus.com/inward/record.uri?eid=2-s2.0-85135038650&amp;doi=10.1007%2f978-3-031-09917-5_21&amp;partnerID=40&amp;md5=64d0e47f6f4d0517e1cdf3d4c7026031</t>
  </si>
  <si>
    <t>Chatbots are nowadays being applied widely in different life domains. One major reason for this trend is the mature development process that is supported by large companies and sophisticated conversational platforms. However, the required development steps are mostly done manually while transforming existing knowledge bases into interaction configurations, s.t., algorithms integrated into the conversational platforms are enabled to learn the intended interaction patterns. However, already existing domain knowledge may get vanished while transforming a structured knowledge base into a “flat” text representation without references backwards. In this paper, we aim for an automatic process dedicated to generating interaction configurations for a conversational platform (Google Dialogflow) from an existing domain-specific knowledge base. Our ultimate goal is to generate chatbot configurations automatically, s.t., the quality and efficiency are increased. © 2022, Springer Nature Switzerland AG.</t>
  </si>
  <si>
    <t>Chatbots; Dialog systems; Human-computer interactions; Knowledge graphs; Natural-language interfaces; Software generator; Synthetic data generation</t>
  </si>
  <si>
    <t>Guo Z.; Zhang Y.; Feng J.; Yang E.; Qin L.; Zhou J.</t>
  </si>
  <si>
    <t>Coronary Artery Centerline Refinement Using GCN Trained with Synthetic Data</t>
  </si>
  <si>
    <t>https://www.scopus.com/inward/record.uri?eid=2-s2.0-85124019354&amp;doi=10.1007%2f978-3-030-93722-5_3&amp;partnerID=40&amp;md5=3b9bbd3c42069f82fc8c00a645668d7c</t>
  </si>
  <si>
    <t>Coronary artery centerlines extraction from cardiac CT angiography (CCTA) is an important but challenging task. The popular U-net based coronary artery segmentation and thinning approaches rely on large number of labeled data and tend to produce noisy results. We proposed a graph convolutional network (GCN) for refining noisy centerlines outputted by U-net and developed a coronary artery tree synthesis approach for GCN pretraining. Experiments demonstrate that both modules led to improved performance. © 2022, Springer Nature Switzerland AG.</t>
  </si>
  <si>
    <t>Coronary artery extraction; Coronary CT angiography; Graph convolutional network; Synthesis data</t>
  </si>
  <si>
    <t>Yang Z.; Sun Q.; Zhang Y.; Wang W.</t>
  </si>
  <si>
    <t>https://www.scopus.com/inward/record.uri?eid=2-s2.0-85091103222&amp;doi=10.1109%2fTIFS.2020.3016827&amp;partnerID=40&amp;md5=543c8ea87fe91cfcddfde53a4745124a</t>
  </si>
  <si>
    <t>Attack detection; behavior representation; information security; recommender system</t>
  </si>
  <si>
    <t>Linjordet T.</t>
  </si>
  <si>
    <t>Neural (Knowledge Graph) Question Answering Using Synthetic Training Data</t>
  </si>
  <si>
    <t>https://www.scopus.com/inward/record.uri?eid=2-s2.0-85095864003&amp;doi=10.1145%2f3340531.3418505&amp;partnerID=40&amp;md5=215cc178dc9f4d5d068c73276301bd17</t>
  </si>
  <si>
    <t>Deep learning requires volume, quality, and variety of training data. In neural question answering, a trade-off between quality and volume comes from the need to either manually curate or construct realistic question answering data, which is costly, or else augmenting, weakly labeling or generating training data from smaller datasets, leading to low variety and sometimes low quality. What can be done to make the best of this necessary trade-off? What can be understood from the endeavor to seek such solutions? © 2020 ACM.</t>
  </si>
  <si>
    <t>deep learning; knowledge graph question answering; neural networks; semi-supervised learning; synthetic data</t>
  </si>
  <si>
    <t>Linjordet T.; Balog K.</t>
  </si>
  <si>
    <t>Sanitizing Synthetic Training Data Generation for Question Answering over Knowledge Graphs</t>
  </si>
  <si>
    <t>https://www.scopus.com/inward/record.uri?eid=2-s2.0-85093082353&amp;doi=10.1145%2f3409256.3409836&amp;partnerID=40&amp;md5=f32ace1cbc63d5f1af14f8a943030ecb</t>
  </si>
  <si>
    <t>Synthetic data generation is important to training and evaluating neural models for question answering over knowledge graphs. The quality of the data and the partitioning of the datasets into training, validation and test splits impact the performance of the models trained on this data. If the synthetic data generation depends on templates, as is the predominant approach for this task, there may be a leakage of information via a shared basis of templates across data splits if the partitioning is not performed hygienically. This paper investigates the extent of such information leakage across data splits, and the ability of trained models to generalize to test data when the leakage is controlled. We find that information leakage indeed occurs and that it affects performance. At the same time, the trained models do generalize to test data under the sanitized partitioning presented here. Importantly, these findings extend beyond the particular flavor of question answering task we studied and raise a series of difficult questions around template-based synthetic data generation that will necessitate additional research. © 2020 ACM.</t>
  </si>
  <si>
    <t>information leakage; knowledge graph question answering; synthetic data; template-based data generation</t>
  </si>
  <si>
    <t>Dataset Generation Patterns for Evaluating Knowledge Graph Construction</t>
  </si>
  <si>
    <t>https://www.scopus.com/inward/record.uri?eid=2-s2.0-85115872825&amp;doi=10.1007%2f978-3-030-80418-3_5&amp;partnerID=40&amp;md5=aec2c724a2cd1c2b2b8f14e4d8f8985d</t>
  </si>
  <si>
    <t>Confidentiality hinders the publication of authentic, labeled datasets of personal and enterprise data, although they could be useful for evaluating knowledge graph construction approaches in industrial scenarios. Therefore, our plan is to synthetically generate such data in a way that it appears as authentic as possible. Based on our assumption that knowledge workers have certain habits when they produce or manage data, generation patterns could be discovered which can be utilized by data generators to imitate real datasets. In this paper, we initially derived 11 distinct patterns found in real spreadsheets from industry and demonstrate a suitable generator called Data Sprout that is able to reproduce them. We describe how the generator produces spreadsheets in general and what altering effects the implemented patterns have. © 2021, Springer Nature Switzerland AG.</t>
  </si>
  <si>
    <t>Generator; Pattern language; Synthetic data</t>
  </si>
  <si>
    <t>Shah F.; Castelltort A.; Laurent A.</t>
  </si>
  <si>
    <t>https://www.scopus.com/inward/record.uri?eid=2-s2.0-85076200890&amp;doi=10.1016%2fj.future.2019.10.004&amp;partnerID=40&amp;md5=e46228bbedbdf52ea080ba64283c9b7c</t>
  </si>
  <si>
    <t>Gradual patterns; Missing values; Property graph</t>
  </si>
  <si>
    <t>Savkin A.; Ellouze R.; Navab N.; Tombari F.</t>
  </si>
  <si>
    <t>Unsupervised Traffic Scene Generation with Synthetic 3D Scene Graphs</t>
  </si>
  <si>
    <t>https://www.scopus.com/inward/record.uri?eid=2-s2.0-85124373880&amp;doi=10.1109%2fIROS51168.2021.9636318&amp;partnerID=40&amp;md5=06a1e30e08f69a36bff711ed98e7255e</t>
  </si>
  <si>
    <t>Image synthesis driven by computer graphics achieved recently a remarkable realism, yet synthetic image data generated this way reveals a significant domain gap with respect to real-world data. This is especially true in autonomous driving scenarios, which represent a critical aspect for over-coming utilizing synthetic data for training neural networks. We propose a method based on domain-invariant scene representation to directly synthesize traffic scene imagery without rendering. Specifically, we rely on synthetic scene graphs as our internal representation and introduce an unsupervised neural network architecture for realistic traffic scene synthesis. We enhance synthetic scene graphs with spatial information about the scene and demonstrate the effectiveness of our approach through scene manipulation.  © 2021 IEEE.</t>
  </si>
  <si>
    <t>Dhamo H.; Manhardt F.; Navab N.; Tombari F.</t>
  </si>
  <si>
    <t>https://www.scopus.com/inward/record.uri?eid=2-s2.0-85118519477&amp;doi=10.1109%2fICCV48922.2021.01604&amp;partnerID=40&amp;md5=fe7847fb9f4c50a74ad6818f53a07ffd</t>
  </si>
  <si>
    <t>Controllable scene synthesis consists of generating 3D information that satisfy underlying specifications. Thereby, these specifications should be abstract, i.e. allowing easy user interaction, whilst providing enough interface for detailed control. Scene graphs are representations of a scene, composed of objects (nodes) and inter-object relationships (edges), proven to be particularly suited for this task, as they allow for semantic control on the generated content. Previous works tackling this task often rely on synthetic data, and retrieve object meshes, which naturally limits the generation capabilities. To circumvent this issue, we instead propose the first work that directly generates shapes from a scene graph in an end-to-end manner. In addition, we show that the same model supports scene modification, using the respective scene graph as interface. Leveraging Graph Convolutional Networks (GCN) we train a variational Auto-Encoder on top of the object and edge categories, as well as 3D shapes and scene layouts, allowing latter sampling of new scenes and shapes. © 2021 IEEE</t>
  </si>
  <si>
    <t>Oliveira W.D.G.D.; Penatti O.A.B.; Berton L.</t>
  </si>
  <si>
    <t>https://www.scopus.com/inward/record.uri?eid=2-s2.0-85099576474&amp;doi=10.1109%2fSIBGRAPI51738.2020.00043&amp;partnerID=40&amp;md5=72769d88fb178650533e5b348aca23a2</t>
  </si>
  <si>
    <t>In supervised learning, the algorithm accuracy usually improves with the size of the labeled dataset used for training the classifier. However, in many real-life scenarios, obtaining enough labeled data is costly or even not possible. In many circumstances, Data Augmentation (DA) techniques are usually employed, generating more labeled data for training machine learning algorithms. The common DA techniques are applied to already labeled data, generating simple variations of this data. For example, for image classification, image samples are rotated, cropped, flipped or other operators to generate variations of input image samples, and keeping their original labels. Other options are using Neural Networks algorithms that create new synthetic data or to employ Semi-supervised Learning (SSL) that label existing unlabeled data. In this paper, we perform a comparison among graph-based semi-supervised learning (GSSL) algorithms to augment the labeled dataset. The main advantage of using GSSL is that we can increase the training set by adding non-annotated images to the training set, therefore, we can benefit from the huge amount of unlabeled data available. Experiments are performed on five datasets for recognition of handwritten digits and letters (MNIST and EMINIST), animals (Dogs vs Cats), clothes (MNIST-Fashion) and remote sensing images (Brazilian Coffee Scenes), in which we compare different possibilities for DA, including the GSSL, Generative Adversarial Networks (GANs) and traditional Image Transformations (IT) applied on input labeled data. We also evaluated the impact of such techniques on different convolutional neural networks (CNN). Results indicate that, although all DA techniques performed well, GSSL was more robust to different image properties, presenting less accuracy variation across datasets.  © 2020 IEEE.</t>
  </si>
  <si>
    <t>data augmentation; GANs; Image classification; image transformation; machine learning; semi supervised learning</t>
  </si>
  <si>
    <t>Yang C.; Xie H.; Tian H.; Yu Y.</t>
  </si>
  <si>
    <t>https://www.scopus.com/inward/record.uri?eid=2-s2.0-85124359362&amp;doi=10.1109%2fIROS51168.2021.9636343&amp;partnerID=40&amp;md5=13bc170e710997073b90532507f32306</t>
  </si>
  <si>
    <t>Learning 3D object reconstruction from a single RGB image is a fundamental and extremely challenging problem for robots. As acquiring labeled 3D shape representations for real-world data is time-consuming and expensive, synthetic image-shape pairs are widely used for 3D reconstruction. However, the models trained on synthetic data set did not perform equally well on real-world images. The existing method used the domain adaptation to fill the domain gap between different data sets. Unlike the approach simply considered global distribution for domain adaptation, this paper presents a dynamic domain adaptation (DDA) network to extract domain-invariant image features for 3D reconstruction. The relative importance between global and local distributions are considered to reduce the discrepancy between synthetic and real-world data. In addition, graph convolution network (GCN) based mesh generation methods have achieved impressive results than voxel-based and point cloud-based methods. However, the global context in a graph is not effectively used due to the limited receptive field of GCN. In this paper, a multi-scale processing method for graph convolution network (GCN) is proposed to further improve the performance of GCN-based 3D reconstruction. The experiment results conducted on both synthetic and real-world data set have demonstrated the effectiveness of the proposed methods.  © 2021 IEEE.</t>
  </si>
  <si>
    <t>dynamic domain adaptation; GCN; single-view 3D reconstruction</t>
  </si>
  <si>
    <t>McKenna E.; Higginson S.; Hargreaves T.; Chilvers J.; Thomson M.</t>
  </si>
  <si>
    <t>When activities connect: Sequencing, network analysis, and energy demand modelling in the United Kingdom</t>
  </si>
  <si>
    <t>https://www.scopus.com/inward/record.uri?eid=2-s2.0-85084548029&amp;doi=10.1016%2fj.erss.2020.101572&amp;partnerID=40&amp;md5=8127305f6b5285b5a6261ab2e5599803</t>
  </si>
  <si>
    <t>This work applies a network analysis technique to the study of real and synthetic residential activity data commonly used in activity and energy demand research. UK Time Use Survey activity diaries are converted into network graphs of activity sequences. Differences between weekday and weekend networks are compared using network metrics: size, density, centrality and homophily. The results show that the weekday activity sequence network is smaller, less dense, more central and has lesser homophily than the weekend network. The technique is applied to test the validation of a model of residential active occupancy in buildings that uses a first-order Markov chain technique to generate synthetic data. The results show that the synthetic data reproduces relative differences between the network metrics for weekdays and weekends but the differences between real and synthetic data are statistically significant and greater or comparable to the differences observed between real weekday and weekend data. The first-order Markov chain technique fails to capture important characteristics of the sequence network that are present in the real data. The analysis technique presented here can be used to improve the testing and validation of such models in future, as well the comparative analysis of sets of aggregated activity data for periods of known difference in energy demand. © 2020 Elsevier Ltd</t>
  </si>
  <si>
    <t>Activity; Bottom-up modelling; Energy demand; Markov chain; Network analysis; Network theory; Time use diary</t>
  </si>
  <si>
    <t>Roder M.; Nguyen P.T.S.; Conrads F.; Da Silva A.A.M.; Ngomo A.-C.N.</t>
  </si>
  <si>
    <t>Lemming - Example-based Mimicking of Knowledge Graphs</t>
  </si>
  <si>
    <t>https://www.scopus.com/inward/record.uri?eid=2-s2.0-85102634080&amp;doi=10.1109%2fICSC50631.2021.00015&amp;partnerID=40&amp;md5=ddb2a2c323947fcca942adf30247d4a6</t>
  </si>
  <si>
    <t>The size of knowledge graphs used in real applications grows constantly. Predicting the performance of storage solutions for knowledge graphs w.r.t. their query performance is hence of central performance for the practical use of said storage solutions. We address this challenge by learning graph invariants of a given graph. We then use these invariants to fuel a stochastic generation model that is able to generate graphs of arbitrary sizes similar to the input graph. We evaluate our graph generator, dubbed Lemming, by comparing the performance of storage solutions on synthetic and real versions of three datasets of up to 3.4 × 10{6} triples. Our results suggest that the performance of storage solutions on synthetic data generated by Lemming reflects their performance on real data in most of the cases. The source code of Lemming is available at https://github.com/dice-group/Lemming.  © 2021 IEEE.</t>
  </si>
  <si>
    <t>benchmarking dataset; RDF graph generation</t>
  </si>
  <si>
    <t>Rafique N.P.M.; Devane S.R.; Akhtar S.</t>
  </si>
  <si>
    <t>Early Detection of Myocardial Infarction Using Actual and Synthetic Datasets</t>
  </si>
  <si>
    <t>https://www.scopus.com/inward/record.uri?eid=2-s2.0-85125075148&amp;doi=10.1109%2fIBSSC53889.2021.9673210&amp;partnerID=40&amp;md5=62e5a92e1da071c5ee045844409f4ed5</t>
  </si>
  <si>
    <t>Every year we lose approximately many people because of myocardial infarct (MI) in India. This makes it of utmost importance to predict not only MI but early MI also. In this proposal detection of myocardial infarction using new parameters is proposed with increased accuracy and efficiency of the existing model. Additional parameters are used to predict MI with more accuracy. The proposed model is used to predict an early diagnosis of MI with the help of expertise experiences and data gathered from hospitals. At the initial stage of research, the important data is collected from hospitals. This dataset isn't sufficient to offer to the model. Providing limited information restricts the training of the model resulting in compromised results. To overcome the difficulty, a replacement path is to be taken by feeding synthetic data so as to supply information in bulk to the model. The generation of synthetic data required a lot of research from previous research, the internet, and expertise. After all the conversations and exploration, the range for distinct parameters is observed for early MI, MI, and NON-MI which solidified a cornerstone to generate synthetic datasets.2149 patient data is collected from three hospitals in rural areas of Nagpur, Maharashtra. Based on the distribution graph synthetic datasets are created. A very novel idea is applied in this research to get better accuracy of the model. Machine learning algorithm requires a lot of data to train and test the model. Models such as SVM, Naïve Bayes, Decision Tree, Random Forest, K-Nearest Network, Quadratic discriminant analysis (QDA), AdaBoost are trained and tested on synthetic as well on actual datasets. © 2021 IEEE.</t>
  </si>
  <si>
    <t>Actual datasets; Early MI; MI; NON-MI; Synthetic datasets</t>
  </si>
  <si>
    <t>Himmelhuber A.; Joblin M.; Ringsquandl M.; Runkler T.</t>
  </si>
  <si>
    <t>https://www.scopus.com/inward/record.uri?eid=2-s2.0-85126223362&amp;doi=10.1007%2f978-3-030-93736-2_6&amp;partnerID=40&amp;md5=68f8432c69cc58349e8796cab40d5e2a</t>
  </si>
  <si>
    <t>Graph neural networks (GNNs) are quickly becoming the standard approach for learning on graph structured data across several domains, but they lack transparency in their decision-making. Several perturbation-based approaches have been developed to provide insights into the decision making process of GNNs. As this is an early research area, the methods and data used to evaluate the generated explanations lack maturity. We explore these existing approaches and identify common pitfalls in three main areas: (1) synthetic data generation process, (2) evaluation metrics, and (3) the final presentation of the explanation. For this purpose, we perform an empirical study to explore these pitfalls along with their unintended consequences and propose remedies to mitigate their effects. © 2021, Springer Nature Switzerland AG.</t>
  </si>
  <si>
    <t>Adams J.; Hansen N.R.; Zhang K.</t>
  </si>
  <si>
    <t>https://www.scopus.com/inward/record.uri?eid=2-s2.0-85121022991&amp;partnerID=40&amp;md5=6dc9a2e0bcdf196e4176f1d854ab57ab</t>
  </si>
  <si>
    <t>In causal discovery, linear non-Gaussian acyclic models (LiNGAMs) have been studied extensively. While the causally sufficient case is well understood, in many real applications the observed variables are not causally related. Rather, they are generated by latent variables, such as confounders and mediators, which may themselves be causally related. Existing results on the identification of the causal structure among the latent variables often require very strong graphical assumptions. In this paper, we consider partially observed linear models with either non-Gaussian or heterogeneous errors. In that case we give two graphical conditions which are necessary for identification of the causal structure. These conditions are closely related to sparsity of the causal edges. Together with one additional condition on the coefficients, which holds generically for any graph, the two graphical conditions are also sufficient for identifiability. These new conditions can be satisfied even when the number of latent variables is very large. We demonstrate the validity of our results on synthetic data. © 2021 Neural information processing systems foundation. All rights reserved.</t>
  </si>
  <si>
    <t>Das M.; Alphonse P.J.A.; Kamalanathan S.</t>
  </si>
  <si>
    <t>https://www.scopus.com/inward/record.uri?eid=2-s2.0-85124797839&amp;doi=10.1109%2fIDAACS53288.2021.9661009&amp;partnerID=40&amp;md5=ec89801df67c9eac571a628bdacd0ecc</t>
  </si>
  <si>
    <t>An empirical study on three graph-based clustering algorithms has been presented here. We have discussed those three clustering algorithms and made an analysis. The algorithms we have considered here are: Markov Clustering (MCL), Regularized Markov Clustering Algorithm (R-MCL), and Variable Inflation MCL (VI-MCL). We have used two types of graph networks: random network generated using synthetic data and PPI networks generated from 22 candidate genes of Malaria. We have considered the ubiquitous Dunn Index as the cluster validity index (CVI) to validate the generated clusters. Our experiments reveal that VI-MCL produces a lot of singletons set on both synthetic graph and PPI graph of those 22 genes. MCL performs best among the three algorithms we have chosen. The quality of clusters produces by R-MCL is better than that of VI-MCL.  © 2021 IEEE.</t>
  </si>
  <si>
    <t>Dunn Index; Gene Data; Graph-based Clustering; Markov Chain; Protein-Protein-Interaction Network</t>
  </si>
  <si>
    <t>Nettleton D.F.; Nettleton S.; Farriol M.C.</t>
  </si>
  <si>
    <t>MEDICI: A Simple to Use Synthetic Social Network Data Generator</t>
  </si>
  <si>
    <t>https://www.scopus.com/inward/record.uri?eid=2-s2.0-85115878203&amp;doi=10.1007%2f978-3-030-85529-1_22&amp;partnerID=40&amp;md5=28145189ca706334f9f6349b66213162</t>
  </si>
  <si>
    <t>The motivation of the work in this paper is due to the need in research and applied fields for synthetic social network data due to (i) difficulties to obtain real data and (ii) data privacy issues of the real data. The issues to address are first to obtain a graph with a social network type structure, label it with communities. The main focus is the generation of realistic data, its assignment to and propagation within the graph. The main aim in this work is to implement an easy to use standalone end-user application which addresses the aforementioned issues. The methods used are the R-MAT and Louvain algorithms, with some modifications, for graph generation and community labeling respectively, and the development of a Java based system for the data generation using an original seed assignment algorithm followed by a second algorithm for weighted and probabilistic data propagation to neighbors and other nodes. The results show that a close fit can be achieved between the initial user specification and the generated data, and that the algorithms have potential for scale up. The system is made publicly available in a Github Java project. © 2021, Springer Nature Switzerland AG.</t>
  </si>
  <si>
    <t>Graphs; Online social networks; Synthetic data</t>
  </si>
  <si>
    <t>Deeva I.; Andriushchenko P.D.; Kalyuzhnaya A.V.; Boukhanovsky A.V.</t>
  </si>
  <si>
    <t>Bayesian Networks-based personal data synthesis</t>
  </si>
  <si>
    <t>https://www.scopus.com/inward/record.uri?eid=2-s2.0-85091318523&amp;doi=10.1145%2f3411170.3411243&amp;partnerID=40&amp;md5=78423874dfbfbdb3a03e01263071de23</t>
  </si>
  <si>
    <t>Often, confidentiality problems and a lack of original data, make it challenging to analyze user data carefully. In such situations, synthetic data can be used that is more suitable for testing and training marketing strategies, personalized assistants, or behavior analysis systems than the original data. In this paper, the approach for generating synthetic social media profiles data based on Bayesian networks was analyzed. The personal data synthesis problem was considered as the inference of a joint probability distribution from the oriented probabilistic models like Bayesian networks. The quality of this approach in generating VKontakte (VK is the Russian analog of Facebook) social network data was demonstrated and assessed. The Bayesian network approach has shown itself well in the tasks of deriving joint and marginal data distributions, which has led to the production of high-quality synthetic personal data.  © 2020 ACM.</t>
  </si>
  <si>
    <t>Bayesian networks; data-driven models; oriented probabilistic models; personal data synthesis; synthetic data generation</t>
  </si>
  <si>
    <t>Yu Q.; Yu Z.; Wang Z.; Wang X.; Wang Y.</t>
  </si>
  <si>
    <t>https://www.scopus.com/inward/record.uri?eid=2-s2.0-85087767326&amp;doi=10.1007%2fs11704-020-9370-z&amp;partnerID=40&amp;md5=032e9ecfa1452a4505f83a3a859c700c</t>
  </si>
  <si>
    <t>Overlapping community detection has become a very hot research topic in recent decades, and a plethora of methods have been proposed. But, a common challenge in many existing overlapping community detection approaches is that the number of communities K must be predefined manually. We propose a flexible nonparametric Bayesian generative model for count-value networks, which can allow K to increase as more and more data are encountered instead of to be fixed in advance. The Indian buffet process was used to model the community assignment matrix Z, and an uncollapsed Gibbs sampler has been derived. However, as the community assignment matrix Z is a structured multi-variable parameter, how to summarize the posterior inference results and estimate the inference quality about Z, is still a considerable challenge in the literature. In this paper, a graph convolutional neural network based graph classifier was utilized to help to summarize the results and to estimate the inference quality about Z. We conduct extensive experiments on synthetic data and real data, and find that empirically, the traditional posterior summarization strategy is reliable. © 2020, Higher Education Press and Springer-Verlag GmbH Germany, part of Springer Nature.</t>
  </si>
  <si>
    <t>graph classification; graph convolutional neural network; Indian buffet process; nonparametric Bayesian generative model; overlapping community detection; posterior inference quality estimation; relational infinite latent feature model; uncollapsed Gibbs sampler</t>
  </si>
  <si>
    <t>https://www.scopus.com/inward/record.uri?eid=2-s2.0-85115147915&amp;doi=10.1007%2f978-3-030-85082-1_6&amp;partnerID=40&amp;md5=199320c34bdaa30efec96adefe38388f</t>
  </si>
  <si>
    <t>Electric and autonomous mobility will increasingly rely on advanced route planning algorithms. Robust testing of these algorithms is dependent on the availability of large realistic data sets. Such data sets should capture realistic time-varying traffic patterns and corresponding travel-time and energy-use predictions. Ideally, time-varying availability of charging infrastructure and vehicle-specific charging-power curves should be included in the data to support advanced planning. We contribute with a modular testbed architecture including a semi-synthetic data generator that uses a state-of-the-art traffic simulator, real traffic distribution patterns, EV-specific data, and elevation data to generate time-dependent travel-time and energy-use weights in a road-network graph. The experimental study demonstrates that the testbed can reproduce travel-time and energy-use patterns for long-distance trips similar to commercially available services. © 2021, The Author(s).</t>
  </si>
  <si>
    <t>Data generation; Electric vehicle; Long-distance EV routing; Semi-synthetic data; Testbed; Time-dependent road network</t>
  </si>
  <si>
    <t>Garrido S.; Borysov S.; Rich J.; Pereira F.</t>
  </si>
  <si>
    <t>https://www.scopus.com/inward/record.uri?eid=2-s2.0-85116106674&amp;doi=10.1515%2fjci-2020-0007&amp;partnerID=40&amp;md5=9ecefe764f9d356b463e7af34968b5d0</t>
  </si>
  <si>
    <t>The estimation of causal effects is fundamental in situations where the underlying system will be subject to active interventions. Part of building a causal inference engine is defining how variables relate to each other, that is, defining the functional relationship between variables entailed by the graph conditional dependencies. In this article, we deviate from the common assumption of linear relationships in causal models by making use of neural autoregressive density estimators and use them to estimate causal effects within Pearl's do-calculus framework. Using synthetic data, we show that the approach can retrieve causal effects from non-linear systems without explicitly modeling the interactions between the variables and include confidence bands using the non-parametric bootstrap. We also explore scenarios that deviate from the ideal causal effect estimation setting such as poor data support or unobserved confounders.  © 2021 Sergio Garrido et al., published by De Gruyter.</t>
  </si>
  <si>
    <t>do-calculus; generative models; model specification; neural networks</t>
  </si>
  <si>
    <t>Biswas S.; Riba P.; Lladós J.; Pal U.</t>
  </si>
  <si>
    <t>https://www.scopus.com/inward/record.uri?eid=2-s2.0-85115316319&amp;doi=10.1007%2f978-3-030-86159-9_38&amp;partnerID=40&amp;md5=ce9c4f045a677706c6393e32f2b5bb3f</t>
  </si>
  <si>
    <t>One of the major prerequisites for any deep learning approach is the availability of large-scale training data. When dealing with scanned document images in real world scenarios, the principal information of its content is stored in the layout itself. In this work, we have proposed an automated deep generative model using Graph Neural Networks (GNNs) to generate synthetic data with highly variable and plausible document layouts that can be used to train document interpretation systems, in this case, specially in digital mailroom applications. It is also the first graph-based approach for document layout generation task experimented on administrative document images, in this case, invoices. © 2021, Springer Nature Switzerland AG.</t>
  </si>
  <si>
    <t>Document layout generation; Document synthesis; Graph Neural Networks</t>
  </si>
  <si>
    <t>Roder M.; De Souza G.; Kuchelev D.; Desouki A.A.; Ngomo A.-C.N.</t>
  </si>
  <si>
    <t>ORCA - a Benchmark for Data Web Crawlers</t>
  </si>
  <si>
    <t>https://www.scopus.com/inward/record.uri?eid=2-s2.0-85102647606&amp;doi=10.1109%2fICSC50631.2021.00054&amp;partnerID=40&amp;md5=8d4ce5b25df67dd3af77e1fb0d1bc732</t>
  </si>
  <si>
    <t>The number of RDF knowledge graphs available on the Web grows constantly. Gathering these graphs at large scale for downstream applications hence requires the use of crawlers. Although Data Web crawlers exist, and general Web crawlers could be adapted to focus on the Data Web, there is currently no benchmark to fairly evaluate their performance. Our work closes this gap by presenting the Orca benchmark. Orca generates a synthetic Data Web, which is decoupled from the original Web and enables a fair and repeatable comparison of Data Web crawlers. Our evaluations show that Orca can be used to reveal the different advantages and disadvantages of existing crawlers. The benchmark is open-source and available at https://w3id.org/dice-research/orca.  © 2021 IEEE.</t>
  </si>
  <si>
    <t>Shahsavani H.; Heilmann Z.</t>
  </si>
  <si>
    <t>https://www.scopus.com/inward/record.uri?eid=2-s2.0-85086453747&amp;doi=10.1111%2f1365-2478.12969&amp;partnerID=40&amp;md5=5eb05891278c9a6891a774e8030495c4</t>
  </si>
  <si>
    <t>Over the last two decades, scientists have introduced many ways to improve normal moveout velocity analysis by optimizing the resolution of the moveout velocity spectrum, a graph that displays a coherence value for every tested velocity traveltime pair. Almost all of these methods have failed to enhance resolution when faced with low-fold common-midpoint gathers, which might be caused by natural barriers or man-made obstacles. Another problem is that many approaches are derived from very simple model assumptions that quickly break down for complex structures and do not provide enough model flexibility for an iterative and interactive velocity analysis. In this paper, we present a new velocity analysis method based on the model-based common-diffraction-surface stack operator and apply it to two synthetic data sets, one with locally sparse common-midpoint coverage and one with a laterally variable complex geological structure. We generate velocity spectra by calculating the semblance along spatial operators obtained for all possible emergence angles and an entire range of velocity models. Comparing the resolution of such velocity spectra with those obtained with the classical normal moveout velocity analysis shows, in both two analysed cases, that the stacking velocity can be estimated much more precisely. The reasons for this are that the event dip is handled independently from the velocity and that the semblance is obtained, for each zero-offset sample, over a group of neighbouring common-midpoint gathers instead of just one. © 2020 European Association of Geoscientists &amp; Engineers</t>
  </si>
  <si>
    <t>Minder M.; Farsijani Z.; Shah D.; Gheche M.E.; Frossard P.</t>
  </si>
  <si>
    <t>Figlearn: Filter and Graph Learning Using Optimal Transport</t>
  </si>
  <si>
    <t>https://www.scopus.com/inward/record.uri?eid=2-s2.0-85115182971&amp;doi=10.1109%2fICASSP39728.2021.9413778&amp;partnerID=40&amp;md5=5138e8ba4e3bf0ef9eae5b91297d1930</t>
  </si>
  <si>
    <t>In many applications, a dataset can be considered as a set of observed signals that live on an unknown underlying graph structure. Some of these signals may be seen as white noise that has been filtered on the graph topology by a graph filter. Hence, the knowledge of the filter and the graph provides valuable information about the underlying data generation process and the complex interactions that arise in the dataset. We hence introduce a novel graph signal processing framework for jointly learning the graph and its generating filter from signal observations. We cast a new optimisation problem that minimises the Wasserstein distance between the distribution of the signal observations and the filtered signal distribution model. Our proposed method outperforms stateof- the-art graph learning frameworks on synthetic data. We then apply our method to a temperature anomaly dataset, and further show how this framework can be used to infer missing values if only very little information is available. © 2021 Institute of Electrical and Electronics Engineers Inc.. All rights reserved.</t>
  </si>
  <si>
    <t>Filter learning; Graph learning; Gsp</t>
  </si>
  <si>
    <t>Gao Z.; Dou Y.; Zhao Y.; Han Z.</t>
  </si>
  <si>
    <t>Dynamic graph generative adversarial networks for skeleton-based human motion prediction</t>
  </si>
  <si>
    <t>https://www.scopus.com/inward/record.uri?eid=2-s2.0-85098643979&amp;doi=10.1109%2fISPDS51347.2020.00016&amp;partnerID=40&amp;md5=8bf2e7cd696d0f8ec475bbd25bcaa3cb</t>
  </si>
  <si>
    <t>Human 3D skeleton contains important dynamic information. By learning human skeleton data, graph neural networks have achieved excellent performance in extracting motion features. And the effectiveness of generative adversarial networks in synthetic data generation attracts much interest. In this work, we propose a novel dynamic graph generative adversarial networks for skeleton-based motion prediction. Our model, which is called DG-GAN, consists of generator and discriminator networks. The generator networks use a traditional encoder-decoder architecture. The encoder uses dynamic graph structures with global spatiotemporal receptive fields to encode human skeleton sequences, and the decoder consists of a sequence of graph-based gate recurrent units to generate prediction. In addition, we train the discriminator networks to calculate the errors between the prediction and the ground truth, and propagate the errors back to improve the quality of prediction. On the Human 3. 6M dataset, DG-GAN achieves competitive performance compared to the state-of-the-art methods. © 2020 IEEE.</t>
  </si>
  <si>
    <t>Computer vision; Generative adversarial networks; Graph neural networks; Human skeleton; Motion prediction</t>
  </si>
  <si>
    <t>Wang J.; Li Z.; Long Q.; Zhang W.; Song G.; Shi C.</t>
  </si>
  <si>
    <t>Learning node representations from noisy graph structures</t>
  </si>
  <si>
    <t>https://www.scopus.com/inward/record.uri?eid=2-s2.0-85100873526&amp;doi=10.1109%2fICDM50108.2020.00169&amp;partnerID=40&amp;md5=e8dfce1755cbeabb335774058f9e4956</t>
  </si>
  <si>
    <t>Learning low-dimensional representations on graphs has proved to be effective in various downstream tasks. However, noises prevail in real-world networks, which compromise networks to a large extent in that edges in networks propagate noises through the whole network instead of only the node itself. Whereas existing methods tend to focus on preserving structural properties, the robustness of the learned representations against noises is generally ignored. In this paper, we propose a novel framework to learn noise-free node representations and eliminate noises simultaneously. Since noises are often unknown on real graphs, we design two generators, namely a graph generator and a noise generator, to identify normal structures and noises in an unsupervised setting. On the one hand, the graph generator serves as a unified scheme to incorporate any useful graph prior knowledge to generate normal structures. We illustrate the generative process with community structures and power-law degree distributions as examples. On the other hand, the noise generator generates graph noises not only satisfying some fundamental properties but also in an adaptive way. Thus, real noises with arbitrary distributions can be handled successfully. Finally, in order to eliminate noises and obtain noise-free node representations, two generators need to be optimized jointly, and through maximum likelihood estimation, we equivalently convert the model into imposing different regularization constraints on the true graph and noises respectively. Our model is evaluated on both real-world and synthetic data. It outperforms other strong baselines for node classification and graph reconstruction tasks, demonstrating its ability to eliminate graph noises. © 2020 IEEE.</t>
  </si>
  <si>
    <t>Network embedding; Robustness</t>
  </si>
  <si>
    <t>Hamzehi S.; Franeck P.; Kaltenhäuser B.; Bogenberger K.</t>
  </si>
  <si>
    <t>Approximate Collaborative Fleet Routing with a Pointer Generation Neural Network Approach</t>
  </si>
  <si>
    <t>https://www.scopus.com/inward/record.uri?eid=2-s2.0-85112696204&amp;doi=10.1016%2fj.ifacol.2021.06.047&amp;partnerID=40&amp;md5=8002751be1fb352330f3c43768ae073c</t>
  </si>
  <si>
    <t>With rapid emergence of high-performance computing platforms, the availability of client big data and new machine learning techniques, the application domain of platform-based mobility services supports the research of new optimization techniques for discrete combinatorial optimization problems. Within this research field, particularly large-scale transportation domain specific problems, e.g. multi-vehicle-request matching and collaborative vehicle fleet routing problems are of high interest. In this contribution we present our novel combinatorial Deep Reinforcement Learning for solving symmetric and asymmetric multi-vehicle-request weighted assignment or matching problems by learning and predicting an efficient solution heuristic automatically. The solved assignment problem is characterized by defining different node classes for vehicles, requests and service stations. Our results contain algorithm benchmarks based on reproducible artificial data and statistical evaluations towards solution accuracy and efficiency with respect to different problem complexities. We contribute additional comparisons between different algorithms and heuristics such as naive Greedy, k-Regret and exact (globally optimal) solutions with the simplex method by the Mixed-Integer Programming (MIP) solver Cplex. Further, we compare the results with our model with respect to solution accuracy and efficiency We conclude that our proposed model solves the presented problem setting globally optimal up to an upper graph complexity bound defined via node degree. Furthermore, our results show that our proposed method outperforms all other algorithms with respect to the solution time required. © 2021 The Authors.</t>
  </si>
  <si>
    <t>activity scheduling; Adaptive control by neural networks; Cooperative navigation; Coordination of multiple vehicle systems; decision making; Efficient strategies for large scale complex systems; game theory; Job; Large scale optimization problems; Mission planning; Multi-vehicle systems; programming; Real-time algorithms; Reinforcement learning control; scheduling; Stochastic control</t>
  </si>
  <si>
    <t>Zulkifley M.A.; Abdani S.R.; Zulkifley N.H.</t>
  </si>
  <si>
    <t>COVID-19 screening using a lightweight convolutional neural network with generative adversarial network data augmentation</t>
  </si>
  <si>
    <t>https://www.scopus.com/inward/record.uri?eid=2-s2.0-85091872523&amp;doi=10.3390%2fSYM12091530&amp;partnerID=40&amp;md5=f09283806fcb86958df4f4aba3b6877c</t>
  </si>
  <si>
    <t>COVID-19 screening; Feed-forward layer; Lightweight deep learning model; Separable convolution; Spatial pyramid pooling module</t>
  </si>
  <si>
    <t>Gogoshin G.; Branciamore S.; Rodin A.S.</t>
  </si>
  <si>
    <t>Synthetic data generation with probabilistic bayesian networks</t>
  </si>
  <si>
    <t>https://www.scopus.com/inward/record.uri?eid=2-s2.0-85118151037&amp;doi=10.3934%2fmbe.2021426&amp;partnerID=40&amp;md5=1336f2024c07d3e3c2464e8fdfca2d89</t>
  </si>
  <si>
    <t>Bayesian Network (BN) modeling is a prominent and increasingly popular computational systems biology method. It aims to construct network graphs from the large heterogeneous biological datasets that reflect the underlying biological relationships. Currently, a variety of strategies exist for evaluating BN methodology performance, ranging from utilizing artificial benchmark datasets and models, to specialized biological benchmark datasets, to simulation studies that generate synthetic data from predefined network models. The last is arguably the most comprehensive approach; however, existing implementations often rely on explicit and implicit assumptions that may be unrealistic in a typical biological data analysis scenario, or are poorly equipped for automated arbitrary model generation. In this study, we develop a purely probabilistic simulation framework that addresses the demands of statistically sound simulations studies in an unbiased fashion. Additionally, we expand on our current understanding of the theoretical notions of causality and dependence / conditional independence in BNs and the Markov Blankets within. © 2021 the author(s), licensee AIMS Press.</t>
  </si>
  <si>
    <t>Bayesian networks; Central limit; Directed acyclic graph; Markov blanket; Probabilistic graphical models; Synthetic data generation</t>
  </si>
  <si>
    <t>Wolf M.; Ring M.; Landes D.</t>
  </si>
  <si>
    <t>Impact of generative adversarial networks on netflow-based traffic classification</t>
  </si>
  <si>
    <t>https://www.scopus.com/inward/record.uri?eid=2-s2.0-85091148858&amp;doi=10.1007%2f978-3-030-57805-3_37&amp;partnerID=40&amp;md5=37cfe7351e93c341e3632d87f659ac99</t>
  </si>
  <si>
    <t>Long-Short-Term Memory (LSTM) networks can process sequential information and are a promising approach towards self-learning intrusion detection methods. Yet, this approach requires huge amounts of barely available labeled training data with recent and realistic behavior. This paper analyzes if the use of Generative Adversarial Networks (GANs) can improve the quality of LSTM classifiers on flow-based network data. GANs provide an opportunity to generate synthetic, but realistic data without creating exact copies. The classification objective is to separate flow-based network data into normal behavior and anomalies. To that end, we build a transformation process of the underlying data and develop a baseline LSTM classifier and a GAN-based model called LSTM-WGAN-GP. We investigate the effect of training the LSTM classifier only on real world data and training the LSTM-WGAN-GP on real and synthesized data. An experimental evaluation using the CIDDS-001 and ISCX Botnet data sets shows a general improvement in terms of Accuracy and F1-Score, while maintaining identical low False Positive Rates. © The Editor(s) (if applicable) and The Author(s), under exclusive license to Springer Nature Switzerland AG 2021.</t>
  </si>
  <si>
    <t>GANs; Intrusion detection; NetFlow; Synthetic data</t>
  </si>
  <si>
    <t>https://www.scopus.com/inward/record.uri?eid=2-s2.0-85124305877&amp;partnerID=40&amp;md5=f78360b88b26f1f75c85aecfe255ca64</t>
  </si>
  <si>
    <t>Conventional methods in causal effect inference typically rely on specifying a valid set of control variables. When this set is unknown or misspecified, inferences will be erroneous. We propose a method for inferring average causal effects when all potential confounders are observed, but the control variables are unknown. When the data-generating process belongs to the class of acyclical linear structural causal models, we prove that the method yields asymptotically valid confidence intervals. Our results build upon a smooth characterization of linear directed acyclic graphs. We verify the capability of the method to produce valid confidence intervals for average causal effects using synthetic data, even when the appropriate specification of control variables is unknown. © 2021 37th Conference on Uncertainty in Artificial Intelligence, UAI 2021. All Rights Reserved.</t>
  </si>
  <si>
    <t>Rahman M.F.; Sharma N.</t>
  </si>
  <si>
    <t>Reinforcement Learning Based Approach for Urban Resource Allocation and Path Planning Problems</t>
  </si>
  <si>
    <t>https://www.scopus.com/inward/record.uri?eid=2-s2.0-85098629060&amp;doi=10.1109%2fIDSTA50958.2020.9264062&amp;partnerID=40&amp;md5=d179e58488d38eb37f149a5446db3e9b</t>
  </si>
  <si>
    <t>Modeling and solving resource allocation and path planning problems often requires extensive computational resources and hardcoded constraint. In this work, with the help of synthetically generated graphs to emulate real-world data, we explore a preliminary framework that uses neural networks and reinforcement learning for optimization in the context of urban planning operations. We show that this model scales better than Google's OR-Tools on large instances (n &gt; 50), and can be trained without the use of distance matrices or explicitly defined constraints. By training on just synthetic data, our model can be applied to different scenarios without the need for retraining,  © 2020 IEEE.</t>
  </si>
  <si>
    <t>graphs; neural networks; path planning; reinforcement learning; resource allocation; urban planning</t>
  </si>
  <si>
    <t>16th European Conference on Computer Vision, ECCV 2020</t>
  </si>
  <si>
    <t>https://www.scopus.com/inward/record.uri?eid=2-s2.0-85097610460&amp;partnerID=40&amp;md5=15952671f0856f5a2eee6e9c4273390d</t>
  </si>
  <si>
    <t>The proceedings contain 27 papers. The special focus in this conference is on Computer Vision. The topics include: Extract and Merge: Superpixel Segmentation with Regional Attributes; spatial-Adaptive Network for Single Image Denoising; physics-Based Feature Dehazing Networks; learning Surrogates via Deep Embedding; an Asymmetric Modeling for Action Assessment; high-Quality Single-Model Deep Video Compression with Frame-Conv3D and Multi-frame Differential Modulation; instance-Aware Embedding for Point Cloud Instance Segmentation; self-Paced Deep Regression Forests with Consideration on Underrepresented Examples; manifold Projection for Adversarial Defense on Face Recognition; weakly Supervised Learning with Side Information for Noisy Labeled Images; structure-Aware Human-Action Generation; not only Look, But Also Listen: Learning Multimodal Violence Detection Under Weak Supervision; SNE-RoadSeg: Incorporating Surface Normal Information into Semantic Segmentation for Accurate Freespace Detection; modeling the Space of Point Landmark Constrained Diffeomorphisms; pieNet: Personalized Image Enhancement Network; rotational Outlier Identification in Pose Graphs using Dual Decomposition; Speech-Driven Facial Animation Using Cascaded GANs for Learning of Motion and Texture; solving Phase Retrieval with a Learned Reference; dual Grid Net: Hand Mesh Vertex Regression from Single Depth Maps; towards Efficient Coarse-to-Fine Networks for Action and Gesture Recognition;  S3 Net: Semantic-Aware Self-supervised Depth Estimation with Monocular Videos and Synthetic Data; leveraging Seen and Unseen Semantic Relationships for Generative Zero-Shot Learning; weight Excitation: Built-in Attention Mechanisms in Convolutional Neural Networks; UNITER: UNiversal Image-TExt Representation Learning; oscar: Object-Semantics Aligned Pre-training for Vision-Language Tasks; improving Face Recognition from Hard Samples via Distribution Distillation Loss.</t>
  </si>
  <si>
    <t>https://www.scopus.com/inward/record.uri?eid=2-s2.0-85097089465&amp;partnerID=40&amp;md5=882f2b91c51f379a12992d25ec41d8af</t>
  </si>
  <si>
    <t>Bonifati A.; Holubová I.; Prat-Pérez A.; Sakr S.</t>
  </si>
  <si>
    <t>https://www.scopus.com/inward/record.uri?eid=2-s2.0-85087884822&amp;doi=10.1145%2f3379445&amp;partnerID=40&amp;md5=ad9371c9b9034a59b34c6252dafac003</t>
  </si>
  <si>
    <t>The abundance of interconnected data has fueled the design and implementation of graph generators reproducing real-world linking properties or gauging the effectiveness of graph algorithms, techniques, and applications manipulating these data. We consider graph generation across multiple subfields, such as Semantic Web, graph databases, social networks, and community detection, along with general graphs. Despite the disparate requirements of modern graph generators throughout these communities, we analyze them under a common umbrella, reaching out the functionalities, the practical usage, and their supported operations. We argue that this classification is serving the need of providing scientists, researchers, and practitioners with the right data generator at hand for their work. This survey provides a comprehensive overview of the state-of-the-art graph generators by focusing on those that are pertinent and suitable for several data-intensive tasks. Finally, we discuss open challenges and missing requirements of current graph generators along with their future extensions to new emerging fields. © 2020 ACM.</t>
  </si>
  <si>
    <t>benchmarks; Big data management; generators; graph data; synthetic data</t>
  </si>
  <si>
    <t>https://www.scopus.com/inward/record.uri?eid=2-s2.0-85097243241&amp;partnerID=40&amp;md5=0e7545a287d70532c1008dd2c1ec3e07</t>
  </si>
  <si>
    <t>https://www.scopus.com/inward/record.uri?eid=2-s2.0-85097437376&amp;partnerID=40&amp;md5=36abe3d3206e25c72830575bd88914ab</t>
  </si>
  <si>
    <t>Sevgican S.; Turan M.; Gokarslan K.; Yilmaz H.B.; Tugcu T.</t>
  </si>
  <si>
    <t>Intelligent network data analytics function in 5G cellular networks using machine learning</t>
  </si>
  <si>
    <t>https://www.scopus.com/inward/record.uri?eid=2-s2.0-85089303808&amp;doi=10.1109%2fJCN.2020.000019&amp;partnerID=40&amp;md5=126dffc1a7bd1754f7bdba71b363c900</t>
  </si>
  <si>
    <t>5G cellular networks come with many new features compared to the legacy cellular networks, such as network data analytics function (NWDAF), which enables the network operators to either implement their own machine learning (ML) based data analytics methodologies or integrate third-party solutions to their networks. In this paper, the structure and the protocols of NWDAF that are defined in the 3rd Generation Partnership Project (3GPP) standard documents are first described. Then, cell-based synthetic data set for 5G networks based on the fields defined by the 3GPP specifications is generated. Further, some anomalies are added to this data set (e.g., suddenly increasing traffic in a particular cell), and then these anomalies within each cell, subscriber category, and user equipment are classified. Afterward, three ML models, namely, linear regression, long-short term memory, and recursive neural networks are implemented to study behaviour information estimation (e.g., anomalies in the network traffic) and network load prediction capabilities of NWDAF. For the prediction of network load, three different models are used to minimize the mean absolute error, which is calculated by subtracting the actual generated data from the model prediction value. For the classification of anomalies, two ML models are used to increase the area under the receiver operating characteristics curve, namely, logistic regression and extreme gradient boosting. According to the simulation results, neural network algorithms outperform linear regression in network load prediction, whereas the tree-based gradient boosting algorithm outperforms logistic regression in anomaly detection. These estimations are expected to increase the performance of the 5G network through NWDAF. © 2011 KICS.</t>
  </si>
  <si>
    <t>5G networks; Handover; machine learning; NWDAF</t>
  </si>
  <si>
    <t>https://www.scopus.com/inward/record.uri?eid=2-s2.0-85097421977&amp;partnerID=40&amp;md5=9222efdba426d75133c5760f278251ef</t>
  </si>
  <si>
    <t>https://www.scopus.com/inward/record.uri?eid=2-s2.0-85097097006&amp;partnerID=40&amp;md5=a47229228bc49e2fd4313d2affe33aac</t>
  </si>
  <si>
    <t>https://www.scopus.com/inward/record.uri?eid=2-s2.0-85097427213&amp;partnerID=40&amp;md5=1d40ff654e9c7aa9adb8ca3c29aad100</t>
  </si>
  <si>
    <t>https://www.scopus.com/inward/record.uri?eid=2-s2.0-85097669784&amp;partnerID=40&amp;md5=2dda0e5ac0fb14f3429d618b6ad29d8d</t>
  </si>
  <si>
    <t>https://www.scopus.com/inward/record.uri?eid=2-s2.0-85097400533&amp;partnerID=40&amp;md5=a8648f1fb7df61936b3e37444007cb8d</t>
  </si>
  <si>
    <t>Ye X.; Li H.; Imakura A.; Sakurai T.</t>
  </si>
  <si>
    <t>https://www.scopus.com/inward/record.uri?eid=2-s2.0-85081213827&amp;doi=10.1016%2fj.neucom.2020.02.081&amp;partnerID=40&amp;md5=60b3481201891a69a48d7cd3d25fdbc0</t>
  </si>
  <si>
    <t>Imbalanced classification is a challenging problem in machine learning and data mining. Oversampling methods, such as the Synthetic Minority Oversampling Technique (SMOTE), generate synthetic data to achieve data balance for imbalanced classification. However, such kind of oversampling methods generates unnecessary noise when the data are not well separated. On the other hand, there are many applications with inadequate training data and vast testing data, making the imbalanced classification much more challenging. In this paper, we propose a novel oversampling framework to achieve the following two objectives. (1) Improving the classification results of the SMOTE based oversampling methods; (2) Making the SMOTE based oversampling methods applicable when the training data are inadequate. The proposed framework utilizes the Laplacian eigenmaps to find an optimal dimensional space, where the data are well separated and the generation of noise by SMOTE based oversampling methods can be avoided. The construction of graph Laplacian not only explores the useful information from the unlabeled testing data to facilitate imbalanced learning, but also makes the learning process incremental. Experimental results on several benchmark datasets demonstrate the effectiveness of the proposed framework. © 2020 Elsevier B.V.</t>
  </si>
  <si>
    <t>Imbalanced data; Laplacian eigenmaps; Oversampling; SMOTE</t>
  </si>
  <si>
    <t>Grattarola D.; Zambon D.; Livi L.; Alippi C.</t>
  </si>
  <si>
    <t>https://www.scopus.com/inward/record.uri?eid=2-s2.0-85085904069&amp;doi=10.1109%2fTNNLS.2019.2927301&amp;partnerID=40&amp;md5=7e7c193ec53efcbfdf623c8274262e9d</t>
  </si>
  <si>
    <t>The space of graphs is often characterized by a nontrivial geometry, which complicates learning and inference in practical applications. A common approach is to use embedding techniques to represent graphs as points in a conventional Euclidean space, but non-Euclidean spaces have often been shown to be better suited for embedding graphs. Among these, constant-curvature Riemannian manifolds (CCMs) offer embedding spaces suitable for studying the statistical properties of a graph distribution, as they provide ways to easily compute metric geodesic distances. In this paper, we focus on the problem of detecting changes in stationarity in a stream of attributed graphs. To this end, we introduce a novel change detection framework based on neural networks and CCMs, which takes into account the non-Euclidean nature of graphs. Our contribution in this paper is twofold. First, via a novel approach based on adversarial learning, we compute graph embeddings by training an autoencoder to represent graphs on CCMs. Second, we introduce two novel change detection tests operating on CCMs. We perform experiments on synthetic data, as well as two real-world application scenarios: the detection of epileptic seizures using functional connectivity brain networks and the detection of hostility between two subjects, using human skeletal graphs. Results show that the proposed methods are able to detect even small changes in a graph-generating process, consistently outperforming approaches based on Euclidean embeddings. © 2012 IEEE.</t>
  </si>
  <si>
    <t>Adversarial learning; change detection test (CDT); constant-curvature manifold; graph stream; seizure prediction</t>
  </si>
  <si>
    <t>https://www.scopus.com/inward/record.uri?eid=2-s2.0-85097684778&amp;partnerID=40&amp;md5=0feca61eebd3ec9c0d1af902b50b23fb</t>
  </si>
  <si>
    <t>https://www.scopus.com/inward/record.uri?eid=2-s2.0-85097444965&amp;partnerID=40&amp;md5=d87791103dbd1379615a6aca8b6b83df</t>
  </si>
  <si>
    <t>https://www.scopus.com/inward/record.uri?eid=2-s2.0-85097370730&amp;partnerID=40&amp;md5=7559f95a0bbdc930c34fa26809f90abb</t>
  </si>
  <si>
    <t>Salehkaleybar S.; Ghassami A.; Kiyavash N.; Zhang K.</t>
  </si>
  <si>
    <t>Learning linear non-Gaussian causal models in the presence of latent variables</t>
  </si>
  <si>
    <t>https://www.scopus.com/inward/record.uri?eid=2-s2.0-85086805130&amp;partnerID=40&amp;md5=d40bef16261fc9cecc61a3adac61784c</t>
  </si>
  <si>
    <t>We consider the problem of learning causal models from observational data generated by linear non-Gaussian acyclic causal models with latent variables. Without considering the effect of latent variables, the inferred causal relationships among the observed variables are often wrong. Under faithfulness assumption, we propose a method to check whether there exists a causal path between any two observed variables. From this information, we can obtain the causal order among the observed variables. The next question is whether the causal effects can be uniquely identified as well. We show that causal effects among observed variables cannot be identified uniquely under mere assumptions of faithfulness and non-Gaussianity of exogenous noises. However, we are able to propose an efficient method that identifies the set of all possible causal effects that are compatible with the observational data. We present additional structural conditions on the causal graph under which causal effects among observed variables can be determined uniquely. Furthermore, we provide necessary and sufficient graphical conditions for unique identification of the number of variables in the system. Experiments on synthetic data and real-world data show the effectiveness of our proposed algorithm for learning causal models. © 2020 Saber Salehkaleybar, AmirEmad Ghassami, Negar Kiyavash and Kun Zhang. License: CC-BY 4.0, see https://creativecommons.org/licenses/by/4.0/. Attribution requirements are provided at http://jmlr.org/papers/v21/19-260.html.</t>
  </si>
  <si>
    <t>Causal Discovery; Independent Component Analysis; Latent Variables; Non-Gaussianity; Structural Equation Models</t>
  </si>
  <si>
    <t>Ombadi M.; Nguyen P.; Sorooshian S.; Hsu K.-L.</t>
  </si>
  <si>
    <t>https://www.scopus.com/inward/record.uri?eid=2-s2.0-85088569125&amp;doi=10.1029%2f2020WR027251&amp;partnerID=40&amp;md5=341c7d752d1444c4ee0aa6d52d4f87f7</t>
  </si>
  <si>
    <t>Understanding causal relations is of utmost importance in hydrology and climate research for systems identification, prediction, and understanding systems behavior in a changing climate. Traditionally, researchers in hydrometeorology attempted to study causal questions by conducting controlled experiments using numerical models. This approach, however, in most cases of interest provides uncertain results because the models are approximate representation of the natural system. An alternative approach that has recently drawn significant attention in several fields is to infer causal relations from purely observational data. It possesses several traits to its utility particularly in hydrometeorology due to the rapid accumulation of in situ and remotely sensed data records. The first objective of this study is to present a brief description of four causal discovery methods (Granger causality, Transfer Entropy, graph-based algorithms, and Convergent Cross Mapping) with special emphasis on the assumptions on which they are built. Second, using synthetic data generated from a hydrological model, we assess their performance in retrieving causal information taking into account sensitivity to sample size and presence of noise. Last, we use causal analysis to examine and formulate hypotheses on causal drivers of evapotranspiration in a shrubland region during summer and winter seasons. An interpretation of the hypotheses based on canopy seasonal dynamics and evapotranspiration processes is presented. It is hoped that the results presented here can be useful in guiding researchers studying hydrometeorological systems as to which causal method is most appropriate to the characteristics of the system under study. ©2020. American Geophysical Union. All Rights Reserved.</t>
  </si>
  <si>
    <t>Causal Inference; Causality; Empirical Data Mining; Evapotranspiration; Prediction; Systems Identification</t>
  </si>
  <si>
    <t>Liu J.; Li Y.; Gong Z.; Liu X.; Zhou Y.</t>
  </si>
  <si>
    <t>Power line recognition method via fully convolutional network; [全卷积网络电线识别方法]</t>
  </si>
  <si>
    <t>https://www.scopus.com/inward/record.uri?eid=2-s2.0-85091029954&amp;doi=10.11834%2fjig.190316&amp;partnerID=40&amp;md5=3a701528b08ffddad2fa812984e4289e</t>
  </si>
  <si>
    <t>Fully convolutional network(FCN); Low-altitude flight safety; Multisource images; Power line recognition; Synthetic data</t>
  </si>
  <si>
    <t>Paus F.; Huang T.; Asfour T.</t>
  </si>
  <si>
    <t>Predicting Pushing Action Effects on Spatial Object Relations by Learning Internal Prediction Models</t>
  </si>
  <si>
    <t>https://www.scopus.com/inward/record.uri?eid=2-s2.0-85092737637&amp;doi=10.1109%2fICRA40945.2020.9197295&amp;partnerID=40&amp;md5=156a4e33204322f9de8120d216cff227</t>
  </si>
  <si>
    <t>Understanding the effects of actions is essential for planning and executing robot tasks. By imagining possible action consequences, a robot can choose specific action parameters to achieve desired goal states. We present an approach for parametrizing pushing actions based on learning internal prediction models. These pushing actions must fulfill constraints given by a high-level planner, e. g., after the push the brown box must be to the right of the orange box. In this work, we represent the perceived scenes as object-centric graphs and learn an internal model, which predicts object pose changes due to pushing actions. We train this internal model on a large synthetic data set, which was generated in simulation, and record a smaller data set on the real robot for evaluation. For a given scene and goal state, the robot generates a set of possible pushing action candidates by sampling the parameter space and then evaluating the candidates by internal simulation, i. e., by comparing the predicted effect resulting from the internal model with the desired effect provided by the high-level planner. In the evaluation, we show that our model achieves high prediction accuracy in scenes with a varying number of objects and, in contrast to state-of-the-art approaches, is able to generalize to scenes with more objects than seen during training. In experiments on the humanoid robot ARMAR-6, we validate the transfer from simulation and show that the learned internal model can be used to manipulate scenes into desired states effectively. © 2020 IEEE.</t>
  </si>
  <si>
    <t>Caimo A.; Gollini I.</t>
  </si>
  <si>
    <t>https://www.scopus.com/inward/record.uri?eid=2-s2.0-85070883946&amp;doi=10.1016%2fj.csda.2019.106825&amp;partnerID=40&amp;md5=9f07c444827fb19f685484e270f5cb1d</t>
  </si>
  <si>
    <t>A new modelling approach for the analysis of weighted networks with ordinal/ polytomous dyadic values is introduced. Specifically, it is proposed to model the weighted network connectivity structure using a hierarchical multilayer exponential random graph model (ERGM) generative process where each network layer represents a different ordinal dyadic category. The network layers are assumed to be generated by an ERGM process conditional on their closest lower network layers. A crucial advantage of the proposed method is the possibility of adopting the binary network statistics specification to describe both the between-layer and across-layer network processes and thus facilitating the interpretation of the parameter estimates associated to the network effects included in the model. The Bayesian approach provides a natural way to quantify the uncertainty associated to the model parameters. From a computational point of view, an extension of the approximate exchange algorithm is proposed to sample from the doubly-intractable parameter posterior distribution. A simulation study is carried out on artificial data and applications of the methodology are illustrated on well-known datasets. Finally, a goodness-of-fit diagnostic procedure for model assessment is proposed. © 2019 Elsevier B.V.</t>
  </si>
  <si>
    <t>Bayesian analysis; Intractable models; Statistical network models; Weighted networks</t>
  </si>
  <si>
    <t>Farah R.; Hallé S.; Li J.; Lécué F.; Abeloos B.; Perron D.; Mattioli J.; Gregoire P.-L.; Laroche S.; Mercier M.; Cocaud P.</t>
  </si>
  <si>
    <t>Reasoning Engine for Support Maintenance</t>
  </si>
  <si>
    <t>https://www.scopus.com/inward/record.uri?eid=2-s2.0-85096542820&amp;doi=10.1007%2f978-3-030-62466-8_32&amp;partnerID=40&amp;md5=50c41086e7c2a60eb96ecb4c7426cc20</t>
  </si>
  <si>
    <t>This paper presents a reasoning system deployed for supporting the maintenance of IT devices in use by a leading broadcasting and cable television company in North America. We describe a reasoning engine pipeline relying on semantic data representation and some machine learning approaches such as clustering. The engine derives problems on a telecommunication network from a textual description and uses structured historical data of problems, error codes and proposed solutions to prescribe potential solutions. The engine is capable of proposing solutions to unseen problems by using analogical reasoning on structured representations. When a problem happens on the network or more precisely on one of the devices, these devices generate error codes. We addressed two scenarios; (i) we assumed that the list of error codes that we captured is complete, (ii) we assumed, more realistically, that this list is incomplete. In the first case, we suggested solutions for seen and new problems and reported results on real data. In the second case, we proposed a method to infer the complete list of errors, tested that method on synthetic data and showed results with high accuracy. Although both scenarios are in-use, the first scenario is more usual than the second one, but both need to be considered. © 2020, Springer Nature Switzerland AG.</t>
  </si>
  <si>
    <t>Graph embedding; Knowledge graphs; Reasoning engine</t>
  </si>
  <si>
    <t>https://www.scopus.com/inward/record.uri?eid=2-s2.0-85097263330&amp;partnerID=40&amp;md5=3cea51b132a6ea2ba068e3bb73d9144b</t>
  </si>
  <si>
    <t>https://www.scopus.com/inward/record.uri?eid=2-s2.0-85097406383&amp;partnerID=40&amp;md5=4a3f4bb2f64fc018cc383970baa40c93</t>
  </si>
  <si>
    <t>Dombrowski U.; Reiswich A.; Lamprecht R.</t>
  </si>
  <si>
    <t>Neural Machine Translation for Semantic-Driven Q&amp;A Systems in the Factory Planning</t>
  </si>
  <si>
    <t>https://www.scopus.com/inward/record.uri?eid=2-s2.0-85101100470&amp;doi=10.1016%2fj.procir.2021.01.044&amp;partnerID=40&amp;md5=e9654a429796d1777da8b401d8a6b0a8</t>
  </si>
  <si>
    <t>Shorter lifecycles, increasing product variance and the integration of new products and technologies into existing factories lead to a high complexity in today's factory planning. In order to master this complexity, many companies attempt to improve their processes by using digitalization tools. This generates enormous amounts of data, which are currently only partially managed centrally in the company. In order to simplify the associated difficulties regarding the access to information, semantic technologies for the generation and application of knowledge graphs (KG) are currently being investigated intensively by research and industry. To retrieve information - stored in the KG - query languages such as SPARQL are used which require knowledge regarding the structure of the KG as well as a profound knowledge of query languages. To also enable non-expert users to retrieve the stored information in the KG, an intuitive user interface for question answering (Q&amp;A) is needed. In this context, we propose a translation model using artificial neural networks (ANN), which translates questions in german into the query language SPARQL. Due to a lack of suitable datasets, we first developed a method to automatically generate synthetic data sets for training the translation model based on existing ontologies. Based on similar approaches from research, we develop an ANN architecture for the translation model. The method for data generation and the ANN were tested and validated at a german car manufacturer using a knowledge graph. It was shown that the developed architecture is particularly suitable for our field of application. © 2020 Elsevier B.V.. All rights reserved.</t>
  </si>
  <si>
    <t>answering models; artificial neural networks; factory planning; knowledge graph; natural language processing; question; semantic web stack</t>
  </si>
  <si>
    <t>Engelmann N.; Linzner D.; Koeppl H.</t>
  </si>
  <si>
    <t>Continuous-time Bayesian networks with clocks</t>
  </si>
  <si>
    <t>https://www.scopus.com/inward/record.uri?eid=2-s2.0-85103523801&amp;partnerID=40&amp;md5=7d700cc5c282d49b7ab57fa969061c30</t>
  </si>
  <si>
    <t>Structured stochastic processes evolving in continuous time present a widely adopted framework to model phenomena occurring in nature and engineering. However, such models are often chosen to satisfy the Markov property to maintain tractability. One of the more popular of such memoryless models are Continuous Time Bayesian Networks (CTBNs). In this work, we lift its restriction to exponential survival times to arbitrary distributions. Current extensions achieve this via auxiliary states, which hinder tractability. To avoid that, we introduce a set of node-wise clocks to construct a collection of graph-coupled semi-Markov chains. We provide algorithms for parameter and structure inference, which make use of local dependencies and conduct experiments on synthetic data and a data-set generated through a benchmark tool for gene regulatory networks. In doing so, we point out advantages compared to current CTBN extensions. © Author(s) 2020. All rights reserved.</t>
  </si>
  <si>
    <t>https://www.scopus.com/inward/record.uri?eid=2-s2.0-85097385764&amp;partnerID=40&amp;md5=4d182b4370645dd4f564c4767674edc9</t>
  </si>
  <si>
    <t>Bhattacharjee M.; Banerjee M.; Michailidis G.</t>
  </si>
  <si>
    <t>Change point estimation in a dynamic stochastic block model</t>
  </si>
  <si>
    <t>https://www.scopus.com/inward/record.uri?eid=2-s2.0-85087335379&amp;partnerID=40&amp;md5=3f398faf56e027f4d1b7ad47e190df70</t>
  </si>
  <si>
    <t>Change point; Clustering algorithm; Community detection; Convergence rate; Edge probability matrix; Erdos-Rényi random graph; Estimation; Stochastic block model</t>
  </si>
  <si>
    <t>https://www.scopus.com/inward/record.uri?eid=2-s2.0-85097387711&amp;partnerID=40&amp;md5=6eb3af2784b394c75a64526b048688d0</t>
  </si>
  <si>
    <t>https://www.scopus.com/inward/record.uri?eid=2-s2.0-85097365103&amp;partnerID=40&amp;md5=355e0f551f1a7fd122fb021e99ad5738</t>
  </si>
  <si>
    <t>https://www.scopus.com/inward/record.uri?eid=2-s2.0-85097109506&amp;partnerID=40&amp;md5=bde9a30b690c270f3928bc2466753769</t>
  </si>
  <si>
    <t>https://www.scopus.com/inward/record.uri?eid=2-s2.0-85097416249&amp;partnerID=40&amp;md5=d243cfbf0a585a554d012bbb2fb5b0be</t>
  </si>
  <si>
    <t>https://www.scopus.com/inward/record.uri?eid=2-s2.0-85097276865&amp;partnerID=40&amp;md5=b94228260fd82934e914387cd7cd2869</t>
  </si>
  <si>
    <t>https://www.scopus.com/inward/record.uri?eid=2-s2.0-85097383562&amp;partnerID=40&amp;md5=6c2a6ca441696bcf9f445be206c5ad70</t>
  </si>
  <si>
    <t>Guo F.; Xiao X.; Hecker A.; Dustdar S.</t>
  </si>
  <si>
    <t>https://www.scopus.com/inward/record.uri?eid=2-s2.0-85100376287&amp;doi=10.1109%2fGLOBECOM42002.2020.9322220&amp;partnerID=40&amp;md5=0d4d008b03b505cfe19fd5ae7b846638</t>
  </si>
  <si>
    <t>IOTA organizes transactions in the ledger as a Directed Acyclic Graph (DAG) called Tangle, instead of a hash chain of transaction blocks used by most of traditional blockchains. IOTA is considered a promising platform to support Internet-of-Things (IoT) applications with its key features such as micropayment support and absence of transaction fees. While prior art shows extensive analysis based on synthetic data generated through simulations, an analysis based on empirical data from a deployed IOTA network is still missing. In this paper, we provide the first comprehensive analysis by using real transaction data officially published by IOTA Foundation. Our key finding is that neither the tangle's topological features nor the actual observed performance is consistent with the main conclusions from the literature. In particular, most of transactions take roughly 10 minutes to be officially confirmed, which is not exactly instant as commonly assumed; yet, what is arguably worse is that there is a certain amount (5%) of transactions experiencing exceptionally long confirmation time. This shows that IOTA still has gaps to meet the stringent requirements of IoT applications that are delay sensitive. © 2020 IEEE.</t>
  </si>
  <si>
    <t>Blockchain; IoT; IOTA Tangle; Performance Evaluation</t>
  </si>
  <si>
    <t>Bhattarai B.; Kim T.-K.</t>
  </si>
  <si>
    <t>Inducing Optimal Attribute Representations for Conditional GANs</t>
  </si>
  <si>
    <t>https://www.scopus.com/inward/record.uri?eid=2-s2.0-85097398410&amp;doi=10.1007%2f978-3-030-58571-6_5&amp;partnerID=40&amp;md5=f76186e5e79cf5af822240ffdb561020</t>
  </si>
  <si>
    <t>Conditional GANs (cGANs) are widely used in translating an image from one category to another. Meaningful conditions on GANs provide greater flexibility and control over the nature of the target domain synthetic data. Existing conditional GANs commonly encode target domain label information as hard-coded categorical vectors in the form of 0s and 1s. The major drawbacks of such representations are inability to encode the high-order semantic information of target categories and their relative dependencies. We propose a novel end-to-end learning framework based on Graph Convolutional Networks to learn the attribute representations to condition the generator. The GAN losses, the discriminator and attribute classification loss, are fed back to the graph resulting in the synthetic images that are more natural and clearer with respect to the attributes generation. Moreover, prior-arts are mostly given priorities to condition on the generator side, not on the discriminator side of GANs. We apply the conditions on the discriminator side as well via multi-task learning. We enhanced four state-of-the-art cGANs architectures: Stargan, Stargan-JNT, AttGAN and STGAN. Our extensive qualitative and quantitative evaluations on challenging face attributes manipulation data set, CelebA, LFWA, and RaFD, show that the cGANs enhanced by our methods outperform by a large margin, compared to their counter-parts and other conditioning methods, in terms of both target attributes recognition rates and quality measures such as PSNR and SSIM. © 2020, Springer Nature Switzerland AG.</t>
  </si>
  <si>
    <t>Conditional GAN; Face attributes; Graph Convolutional Network; Multi-task learning</t>
  </si>
  <si>
    <t>https://www.scopus.com/inward/record.uri?eid=2-s2.0-85097286908&amp;partnerID=40&amp;md5=084fbeb6e711e7c0bd7ab8cfa3b7e88d</t>
  </si>
  <si>
    <t>https://www.scopus.com/inward/record.uri?eid=2-s2.0-85097851678&amp;partnerID=40&amp;md5=16bd8f283dc96693474a78de3366f3af</t>
  </si>
  <si>
    <t>Saha A.; Sheshadri S.; Datta S.; Ganguly N.; Makhija D.; Patel P.</t>
  </si>
  <si>
    <t>Understanding the success of graph-based semi-supervised learning using partially labelled stochastic block model</t>
  </si>
  <si>
    <t>https://www.scopus.com/inward/record.uri?eid=2-s2.0-85097333175&amp;partnerID=40&amp;md5=3ac688a9d2ac389ffe8c0262d8f1a1e2</t>
  </si>
  <si>
    <t>With the proliferation of learning scenarios with an abundance of instances, but limited amount of high-quality labels, semi-supervised learning algorithms came to prominence. Graph-based Semi-Supervised Learning (G-SSL) algorithms, of which Label Propagation (LP) is a prominent example, are particularly well-suited for these problems. The premise of LP is the existence of homophily in the graph, but beyond that nothing is known about the efficacy of LP. In particular, there is no characterisation that connects the structural constraints, volume and quality of the labels to the accuracy of LP. In this work, we draw upon the notion of recovery from the literature on community detection, and provide guarantees on accuracy for partially-labelled graphs generated from the Partially-Labelled Stochastic Block Model (PLSBM). Extensive experiments performed on synthetic data verify the theoretical findings. © 2020 Inst. Sci. inf., Univ. Defence in Belgrade. All rights reserved.</t>
  </si>
  <si>
    <t>https://www.scopus.com/inward/record.uri?eid=2-s2.0-85097234157&amp;partnerID=40&amp;md5=8e31a469384506a5e91d5cdcf7cbae0c</t>
  </si>
  <si>
    <t>https://www.scopus.com/inward/record.uri?eid=2-s2.0-85097099080&amp;partnerID=40&amp;md5=729f742deb235ca13afd4dac80a6a690</t>
  </si>
  <si>
    <t>Partel G.; Wählby C.</t>
  </si>
  <si>
    <t>https://www.scopus.com/inward/record.uri?eid=2-s2.0-85110495997&amp;doi=10.1109%2fICPR48806.2021.9412262&amp;partnerID=40&amp;md5=5b889b0a32100f88833e4b81bc6a2fd2</t>
  </si>
  <si>
    <t>Image-based multiplexed in situ RNA detection makes it possible to map the spatial gene expression of hundreds to thousands of genes in parallel, and thus discern at the same time a large numbers of different cell types to better understand tissue development, heterogeneity, and disease. Fluorescent signals are detected over multiple fluorescent channels and imaging rounds and decoded in order to identify RNA molecules in their morphological context. Here we present a graph-based decoding approach that models the decoding process as a network flow problem jointly optimizing observation likelihoods and distances of signal detections, thus achieving robustness with respect to noise and spatial jitter of the fluorescent signals. We evaluated our method on synthetic data generated at different experimental conditions, and on real data of in situ RNA sequencing, comparing results with respect to alternative and gold standard image decoding pipelines. © 2020 IEEE</t>
  </si>
  <si>
    <t>https://www.scopus.com/inward/record.uri?eid=2-s2.0-85097835138&amp;partnerID=40&amp;md5=323deb935e33e2a271510dce563366ed</t>
  </si>
  <si>
    <t>Rajita B.S.A.S.; Kumari D.; Panda S.</t>
  </si>
  <si>
    <t>A comparative analysis of community detection methods in massive datasets</t>
  </si>
  <si>
    <t>https://www.scopus.com/inward/record.uri?eid=2-s2.0-85089610123&amp;doi=10.1007%2f978-981-15-4775-1_19&amp;partnerID=40&amp;md5=e8ee335f265783ff5e03b94c29bb7715</t>
  </si>
  <si>
    <t>Nowadays there is a boom in social network data streaming from various fields of interest related to finance, engineering, medicine, and general sciences. All these data are modeled as graphs for better analysis. Community detection is one such mechanism for the analysis of such massive data. Many community detection algorithms exist in literature. The existing algorithms are compared by using either real-world or artificial networks (modeled as graphs) but not both. This paper aims to make a comparative study of two popular existing community detection algorithms both on real-world and synthetic data and verify their performance. The approach in this paper makes good use of recent advances in graphical modeling of different social networks. We generated a random graph that represents most of the observed properties of a real-world dataset. The experimental results are tabulated and the computed metrics help in inferring the suitability or scalability of an algorithm for small or massive datasets. © Springer Nature Singapore Pte Ltd 2020.</t>
  </si>
  <si>
    <t>Community detection; Evaluation metrics; Social networks</t>
  </si>
  <si>
    <t>Petricioli L.; Humski L.; Vranic M.; Pintar D.</t>
  </si>
  <si>
    <t>https://www.scopus.com/inward/record.uri?eid=2-s2.0-85081105342&amp;doi=10.1109%2fACCESS.2020.2970862&amp;partnerID=40&amp;md5=ed076f11f8006cb704ce68272cd26130</t>
  </si>
  <si>
    <t>Nowadays, data created through the usage of different services are most commonly not available to the average researcher. Security and privacy have become a top concern, which has further restricted access to certain real-life data, especially holding true for social networks. This is why synthetic data generators have become a very important area of research, particularly synthetic social graph generators. However, even today, such generators mostly create graphs that contain just the information whether two nodes are connected. Fortunately, there is an existing conceptual solution for an expanded social graph generator that aims to generate synthetic graphs containing multiple weighted edges between nodes, thus showing various types of relationships among those nodes, all based on known real-life data characteristics. One of its proposed steps is the generation of necessary data according to provided distributions and correlations. This paper focuses on the generation of such data by adapting an existing iterative algorithm for non-normal multivariate data simulation to generate synthetic data based on the publicly available distributions and correlations of Facebook interaction parameters. It is shown that the characteristics of the generated synthetic data are similar to the known characteristics of the real-life data, proving that the chosen algorithm, along with the accompanying alterations, can be used as one of the steps within the process of generating a synthetic expanded social graph. © 2013 IEEE.</t>
  </si>
  <si>
    <t>31st International Conference on Database and Expert Systems Applications, DEXA 2020</t>
  </si>
  <si>
    <t>https://www.scopus.com/inward/record.uri?eid=2-s2.0-85091518617&amp;partnerID=40&amp;md5=419a7320972fc1c6b79dc9f7b3253807</t>
  </si>
  <si>
    <t>The proceedings contain 58 papers. The special focus in this conference is on Database and Expert Systems Applications. The topics include: On integrating and classifying legal text documents; an explainable artificial intelligence methodology for hard disk fault prediction; an improved software defect prediction algorithm using self-organizing maps combined with hierarchical clustering and data preprocessing; a city adaptive clustering framework for discovering pois with different granularities; deep discriminative learning for autism spectrum disorder classification; dscan: Distributed structural graph clustering for billion-edge graphs; from risks to opportunities: Real estate equity crowdfunding; accelerating all 5-vertex subgraphs counting using gpus; phoeniq: Failure-tolerant query processing in multi-node environments; a dsl for automated data quality monitoring; fast one-to-many reliability estimation for uncertain graphs; quality matters: Understanding the impact of incomplete data on visualization recommendation; modeldrivenguide: An approach for implementing nosql schemas; preface; From sensors to dempster-shafer theory and back: The axiom of ambiguous sensor correctness and its applications: Keynote at DEXA’2020 – the 31st international conference on database and expert systems applications; automatic schema generation for document-oriented systems; schedule for detour-type demand bus with regular usage data; algebra for complex analysis of data; fd-vae: A feature driven vae architecture for flexible synthetic data generation; bi-level associative classifier using automatic learning on rules; randomlink – avoiding linkage-effects by employing random effects for clustering; fast and accurate community search algorithm for attributed graphs; a differential evolution-based approach for community detection in multilayer networks with attributes; modeling and enforcing integrity constraints on graph databases; bounded pattern matching using views.</t>
  </si>
  <si>
    <t>Palcu L.-D.; Supuran M.; Lemnaru C.; Dinsoreanu M.; Potolea R.; Muresan R.C.</t>
  </si>
  <si>
    <t>Discovering discriminative nodes for classification with deep graph convolutional methods</t>
  </si>
  <si>
    <t>https://www.scopus.com/inward/record.uri?eid=2-s2.0-85085737712&amp;doi=10.1007%2f978-3-030-48861-1_5&amp;partnerID=40&amp;md5=3d30c0ebaaad1d4c682dacea818771ed</t>
  </si>
  <si>
    <t>The interpretability of Graph Convolutional Neural Networks is significantly more challenging than for image based convolutional networks, because graphs do not exhibit clear spatial relations between their nodes (like images do). In this paper we propose an approach for estimating the discriminative power of graph nodes from the model learned by a deep graph convolutional method. To do this, we adapt the Grad-CAM algorithm by replacing the part which heavily relies on the 2D spatial relation of pixels in an image, with an estimate of the node importance by its appearance count in the result of the Grad-CAM. Our strategy was initially defined for a real-world problem with relevant domain-specific assumptions; thus, we additionally propose a methodology for systematically generating artificial data, with similar properties as the real-world data, to assess the generality of the learning process and interpretation method. The results obtained on the artificial data suggest that the proposed method is able to identify informative nodes for classification from the deep convolutional models. © Springer Nature Switzerland AG 2020.</t>
  </si>
  <si>
    <t>Foti S.; Koo B.; Dowrick T.; Ramalhinho J.; Allam M.; Davidson B.; Stoyanov D.; Clarkson M.J.</t>
  </si>
  <si>
    <t>Intraoperative Liver Surface Completion with Graph Convolutional VAE</t>
  </si>
  <si>
    <t>https://www.scopus.com/inward/record.uri?eid=2-s2.0-85093093215&amp;doi=10.1007%2f978-3-030-60365-6_19&amp;partnerID=40&amp;md5=0df6ed4bc0f9ce7df9b3633b993729e1</t>
  </si>
  <si>
    <t>In this work we propose a method based on geometric deep learning to predict the complete surface of the liver, given a partial point cloud of the organ obtained during the surgical laparoscopic procedure. We introduce a new data augmentation technique that randomly perturbs shapes in their frequency domain to compensate the limited size of our dataset. The core of our method is a variational autoencoder (VAE) that is trained to learn a latent space for complete shapes of the liver. At inference time, the generative part of the model is embedded in an optimisation procedure where the latent representation is iteratively updated to generate a model that matches the intraoperative partial point cloud. The effect of this optimisation is a progressive non-rigid deformation of the initially generated shape. Our method is qualitatively evaluated on real data and quantitatively evaluated on synthetic data. We compared with a state-of-the-art rigid registration algorithm, that our method outperformed in visible areas. © 2020, Springer Nature Switzerland AG.</t>
  </si>
  <si>
    <t>Geometric deep learning; Graph convolution; Laparascopic liver surgery; Surface completion; Variational autoencoder</t>
  </si>
  <si>
    <t>34th Annual IFIP WG11.3 Conference on Data and Applications Security and Privacy, DBSec 2020</t>
  </si>
  <si>
    <t>https://www.scopus.com/inward/record.uri?eid=2-s2.0-85087510523&amp;partnerID=40&amp;md5=8b188c46a0654ca9e5343e1c5f04f1ae</t>
  </si>
  <si>
    <t>The proceedings contain 22 papers. The special focus in this conference is on Data and Applications Security and Privacy. The topics include: Non-interactive private decision tree evaluation; privacy-preserving anomaly detection using synthetic data; local differentially private matrix factorization with mog for recommendations; designing a decision-support visualization for live digital forensic investigations; predictive analytics to prevent voice over ip international revenue sharing fraud; PUA detection based on bundle installer characteristics; ML-supported identification and prioritization of threats in the ovvl threat modelling tool; enhancing the performance of spatial queries on encrypted data through graph embedding; crowdsourcing under data poisoning attacks: A comparative study; self-enhancing gps-based authentication using corresponding address; managing secure inter-slice communication in 5g network slice chains; GOOSE: A secure framework for graph outsourcing and sparql evaluation; SGX-ir: Secure information retrieval with trusted processors; readability of privacy policies; proactively extracting iot device capabilities: An application to smart homes; security enumerations for cyber-physical systems; inference-proof monotonic query evaluation and view generation reconsidered; network functions virtualization access control as a service; effective access control in shared-operator multi-tenant data stream management systems; information flow security certification for spark programs.</t>
  </si>
  <si>
    <t>Tu R.; Zhang C.; Ackermann P.; Mohan K.; Kjellström H.; Zhang K.</t>
  </si>
  <si>
    <t>Causal discovery in the presence of missing data</t>
  </si>
  <si>
    <t>https://www.scopus.com/inward/record.uri?eid=2-s2.0-85068990174&amp;partnerID=40&amp;md5=5e33618e388c54a0a54195911941454b</t>
  </si>
  <si>
    <t>Missing data are ubiquitous in many domains such as healthcare. When these data entries are not missing completely at random, the (conditional) independence relations in the observed data may be different from those in the complete data generated by the underlying causal process. Consequently, simply applying existing causal discovery methods to the observed data may lead to wrong conclusions. In this paper, we aim at developing a causal discovery method to recover the underlying causal structure from observed data that are missing under different mechanisms, including missing completely at random (MCAR), missing at random (MAR), and missing not at random (MNAR). With missingness mechanisms represented by missingness graphs (m-graphs), we analyze conditions under which additional correction is needed to derive conditional independence/dependence relations in the complete data. Based on our analysis, we propose Missing Value PC (MVPC), which extends the PC algorithm to incorporate additional corrections. Our proposed MVPC is shown in theory to give asymptotically correct results even on data that are MAR or MNAR. Experimental results on both synthetic data and real healthcare applications illustrate that the proposed algorithm is able to find correct causal relations even in the general case of MNAR. © Copyright 2019 by the author(s).</t>
  </si>
  <si>
    <t>https://www.scopus.com/inward/record.uri?eid=2-s2.0-85093100594&amp;partnerID=40&amp;md5=ce6f07603531ac877261763d406ef074</t>
  </si>
  <si>
    <t>https://www.scopus.com/inward/record.uri?eid=2-s2.0-85092914170&amp;partnerID=40&amp;md5=948eb94f3f5406d4249d522907ae1977</t>
  </si>
  <si>
    <t>https://www.scopus.com/inward/record.uri?eid=2-s2.0-85091595316&amp;partnerID=40&amp;md5=f6dd6a0294ca220eb2750aea297376b5</t>
  </si>
  <si>
    <t>https://www.scopus.com/inward/record.uri?eid=2-s2.0-85093071592&amp;partnerID=40&amp;md5=c87f388c1cb940770cdbb9f9e3cfae8e</t>
  </si>
  <si>
    <t>Gao Q.; Shen X.; Niu W.</t>
  </si>
  <si>
    <t>Large-Scale Synthetic Urban Dataset for Aerial Scene Understanding</t>
  </si>
  <si>
    <t>https://www.scopus.com/inward/record.uri?eid=2-s2.0-85081922539&amp;doi=10.1109%2fACCESS.2020.2976686&amp;partnerID=40&amp;md5=0ca433fd9ba52dc8f4d48da06cffabe1</t>
  </si>
  <si>
    <t>The geometric extraction and semantic understanding in bird's eye view plays an important role in cyber-physical-social systems (CPSS), because it can help human or intelligent agents (IAs) to perceive larger range of environment. Moreover, due to lack of comprehensive dataset from oblique perspective, fog-end deep learning algorithms for this purpose is still in blank. In this paper, we propose a novel method to generate synthetic large-scale dataset for geometric and semantic urban scene understanding from bird's eye view. There are two main steps involved, one is modeling and the other is rendering, which are processed by CityEngine and UnrealEngine4 respectively. In this way, synthetic aligned multi-model data are obtained efficiently, including spectral images, semantic labels, depth and normal maps. Specifically, terrain elevation, street graph, building style and trees distribution are all randomly generated according realistic situation, a few of handcrafted semantic labels annotated by colors spread throughout the scene, virtual cameras moved according to realistic trajectories of unmanned aerial vehicles (UAVs). For evaluation of practicability of our dataset, we manually labeled tens of aerial images downloaded from internet. And the experiment result show that, in both pure and combined mode, the dataset can improve the performance significantly. © 2013 IEEE.</t>
  </si>
  <si>
    <t>Deep learning; environment understanding; geometric extraction; large-scale urban scene; semantic segmentation; synthetic data set</t>
  </si>
  <si>
    <t>https://www.scopus.com/inward/record.uri?eid=2-s2.0-85092128799&amp;partnerID=40&amp;md5=1d68eee75cae8bcbe4d8ac62f3c3b458</t>
  </si>
  <si>
    <t>https://doi.org/10.1145/3589287</t>
  </si>
  <si>
    <t>https://doi.org/10.1145/3411170.3411243</t>
  </si>
  <si>
    <t>Answering database queries while preserving privacy is an important problem that has attracted considerable research attention in recent years. A canonical approach to this problem is to use synthetic data. That is, we replace the input database R with a synthetic database R* that preserves the characteristics of R, and use R* to answer queries. Existing solutions for relational data synthesis, however, either fail to provide strong privacy protection, or assume that R contains a single relation. In addition, it is challenging to extend the existing single-relation solutions to the case of multiple relations, because they are unable to model the complex correlations induced by the foreign keys. Therefore, multi-relational data synthesis with strong privacy guarantees is an open problem.In this paper, we address the above open problem by proposing PrivLava, the first solution for synthesizing relational data with foreign keys under differential privacy, a rigorous privacy framework widely adopted in both academia and industry. The key idea of PrivLava is to model the data distribution in R using graphical models, with latent variables included to capture the inter-relational correlations caused by foreign keys. We show that PrivLava supports arbitrary foreign key references that form a directed acyclic graph, and is able to tackle the common case when R contains a mixture of public and private relations. Extensive experiments on census data sets and the TPC-H benchmark demonstrate that PrivLava significantly outperforms its competitors in terms of the accuracy of aggregate queries processed on the synthetic data.</t>
  </si>
  <si>
    <t>Often, confidentiality problems and a lack of original data, make it challenging to analyze user data carefully. In such situations, synthetic data can be used that is more suitable for testing and training marketing strategies, personalized assistants, or behavior analysis systems than the original data. In this paper, the approach for generating synthetic social media profiles data based on Bayesian networks was analyzed. The personal data synthesis problem was considered as the inference of a joint probability distribution from the oriented probabilistic models like Bayesian networks. The quality of this approach in generating VKontakte (VK is the Russian analog of Facebook) social network data was demonstrated and assessed. The Bayesian network approach has shown itself well in the tasks of deriving joint and marginal data distributions, which has led to the production of high-quality synthetic personal data.</t>
  </si>
  <si>
    <t>Advanced Neural Network Approaches for Distinguishing Real from Synthetic in GAN-generated Data Authenticity Challenges</t>
  </si>
  <si>
    <t>Open-Source Modeling of Extreme Weather Impact on Distribution Networks</t>
  </si>
  <si>
    <t>$kt$-Safety: Graph Release via $k$-Anonymity and $t$-Closeness</t>
  </si>
  <si>
    <t>An Evaluation of Intelligent Network Data Analytics Based on Machine Learning In 5G Data Networks</t>
  </si>
  <si>
    <t>Dynamic Graph Generative Adversarial Networks for Skeleton-Based Human Motion Prediction</t>
  </si>
  <si>
    <t>Graph-Based Anomaly Detection and Localization in InSAR Data</t>
  </si>
  <si>
    <t>T-Pixel2Mesh: Combining Global and Local Transformer for 3D Mesh Generation from a Single Image</t>
  </si>
  <si>
    <t>Lemming – Example-based Mimicking of Knowledge Graphs</t>
  </si>
  <si>
    <t>IoT Network Security with PCA and Deep Learning for Unmasking Anomalies</t>
  </si>
  <si>
    <t>L. Petricioli; L. Humski; M. Vranić; D. Pintar</t>
  </si>
  <si>
    <t>T. Subaranjani; N. Jayaraj</t>
  </si>
  <si>
    <t>K. McDonald; C. Le; Z. Qu</t>
  </si>
  <si>
    <t>L. Dabush; T. Routtenberg</t>
  </si>
  <si>
    <t>W. Ren; K. Ghazinour; X. Lian</t>
  </si>
  <si>
    <t>P. Batra; V. Sagar; K. Kandoi</t>
  </si>
  <si>
    <t>M. Minder; Z. Farsijani; D. Shah; M. E. Gheche; P. Frossard</t>
  </si>
  <si>
    <t>J. Wang; Z. Li; Q. Long; W. Zhang; G. Song; C. Shi</t>
  </si>
  <si>
    <t>S. Goerttler; M. Wu; F. He</t>
  </si>
  <si>
    <t>M. Das; P. Alphonse; S. Kamalanathan</t>
  </si>
  <si>
    <t>Z. Gao; Y. Dou; Y. Zhao; Z. Han</t>
  </si>
  <si>
    <t>N. -T. Nguyen; T. -N. Le; K. -H. Le-Minh; K. -H. Le</t>
  </si>
  <si>
    <t>A. G. de Castro; C. Esteve Rothenberg</t>
  </si>
  <si>
    <t>J. Zhu; X. Chen; H. Yang; F. Nie</t>
  </si>
  <si>
    <t>V. R. M. Elias; J. Dehls; P. S. Rossi</t>
  </si>
  <si>
    <t>S. Zhang; B. Jiang; K. He; J. Zhu; Y. Tai; C. Wang; Y. Zhang; Y. Fu</t>
  </si>
  <si>
    <t>A. Prakash; S. Debnath; J. -F. Lafleche; E. Cameracci; G. State; S. Birchfield; M. T. Law</t>
  </si>
  <si>
    <t>S. Wang; Y. Wang; X. Bai; D. Li</t>
  </si>
  <si>
    <t>C. Xu; X. Cheng; Y. Xie</t>
  </si>
  <si>
    <t>M. Röder; P. T. S. Nguyen; F. Conrads; A. A. M. da Silva; A. -C. N. Ngomo</t>
  </si>
  <si>
    <t>L. Morin; M. Danelljan; M. I. Agea; A. Nassar; V. Weber; I. Meijer; P. Staar; F. Yu</t>
  </si>
  <si>
    <t>N. P. M. Rafique; S. R. Devane; S. Akhtar</t>
  </si>
  <si>
    <t>D. Grattarola; D. Zambon; L. Livi; C. Alippi</t>
  </si>
  <si>
    <t>H. Dhamo; F. Manhardt; N. Navab; F. Tombari</t>
  </si>
  <si>
    <t>C. Yang; H. Xie; H. Tian; Y. Yu</t>
  </si>
  <si>
    <t>P. Lu; T. Deng; H. Zhang; Y. Jin; F. Liu; T. Mao; L. Liu</t>
  </si>
  <si>
    <t>H. Yu; C. She; Y. Hu; G. Wang; R. Wang; B. Vucetic; Y. Li</t>
  </si>
  <si>
    <t>N. Gaggion; E. Ferrante; B. Paniagua; J. Vicory</t>
  </si>
  <si>
    <t>J. Sheng</t>
  </si>
  <si>
    <t>D. Jin; B. Yang</t>
  </si>
  <si>
    <t>Ö. Sen; P. Malskorn; S. Glomb; I. Hacker; M. Henze; A. Ulbig</t>
  </si>
  <si>
    <t>S. Sevgican; M. Turan; K. Gökarslan; H. B. Yilmaz; T. Tugcu</t>
  </si>
  <si>
    <t>F. N. Khan</t>
  </si>
  <si>
    <t>K. Xu; R. Singh; H. Bilen; M. Fiore; M. K. Marina; Y. Wang</t>
  </si>
  <si>
    <t>A. Madhubalan; A. Gautam; P. Tiwary</t>
  </si>
  <si>
    <t>E. Geo Francis; S. Sheeja; E. F. Antony John; J. Joseph</t>
  </si>
  <si>
    <t>S. Saka; A. Al-Ataby; V. Selis</t>
  </si>
  <si>
    <t>Y. Xu; L. Yang; F. Zhu; X. Wang; F. -. Y. Wang</t>
  </si>
  <si>
    <t>F. Guo; X. Xiao; A. Hecker; S. Dustdar</t>
  </si>
  <si>
    <t>Z. Dong; Z. Li; Y. Yan; S. Calinon; F. Chen</t>
  </si>
  <si>
    <t>P. Ma; Z. Ji; Q. Pang; S. Wang</t>
  </si>
  <si>
    <t>P. Sankaran; K. McConky; M. Sudit; H. Ortiz-Peña</t>
  </si>
  <si>
    <t>Z. Yang; Q. Sun; Y. Zhang; W. Wang</t>
  </si>
  <si>
    <t>A. Crisan; S. E. Fisher; J. L. Gardy; T. Munzner</t>
  </si>
  <si>
    <t>J. B. Aimone; R. Lehoucq; W. Severa; J. D. Smith</t>
  </si>
  <si>
    <t>W. D. G. d. Oliveira; O. A. B. Penatti; L. Berton</t>
  </si>
  <si>
    <t>R. Zhang; R. Worley; S. Edwards; J. Aitken; S. R. Anderson; L. Mihaylova</t>
  </si>
  <si>
    <t>G. Partel; C. Wählby</t>
  </si>
  <si>
    <t>A. Acharya; S. Sikdar; S. Das; H. Rangwala</t>
  </si>
  <si>
    <t>Y. Zhu; F. Hu; L. H. Kuo; J. Liu</t>
  </si>
  <si>
    <t>E. Chaibub Neto</t>
  </si>
  <si>
    <t>K. Weerasinghe; S. Janapati; X. Ge; S. Kim; S. Iyer; J. A. Stankovic; H. Alemzadeh</t>
  </si>
  <si>
    <t>Amid the transformative advancements of Generative Adversarial Networks (GANs) in machine learning, a pertinent challenge arises: discerning real instances from synthetic ones. This research introduces a novel neural network model meticulously tailored to differentiate between genuine tasks and those artfully crafted by GANs. The paper elaborates on the unique architectural design and optimization techniques employed, offering a comprehensive insight into the model’s development and testing phases. Empirical evaluations reveal an unparalleled accuracy rate, underscoring the model’s practicality and efficacy. Notwithstanding its high precision and recall balance, the study identifies potential areas of refinement, ensuring its adaptability to future GAN sophistications. As the realm of artificial data generation continues to evolve, this research stands as a beacon, advancing the understanding and tools essential for maintaining authenticity and integrity in data-driven domains.</t>
  </si>
  <si>
    <t>When appropriately integrated into smart grid technology, artificial intelligence (AI) has the potential of significantly improving the grid’s efficiency, reliability, and resiliency. The development of advanced AI algorithms relies heavily on access to comprehensive datasets, which represents as the major challenge due to the proprietary and sensitive nature of grid-related data. Utility data are always of restricted access, requiring data-sharing agreements for specific purposes. In light of these limits, the use of synthetic network and data becomes a necessity for research, algorithm development, and performance comparisons. In this paper, a systematic modeling approach is proposed to acquire extreme weather conditions, to extract weather-prone features of synthetic grid models, and to develop a stochastic impact model of extreme weather on distribution grids. It is shown that synthetic weather conditions can be generated using standard distributions and their impacts on outages in distribution networks can be systematically analyzed and determined. The proposed methodology uses a set of fragility curves to describe the extent of weather impacts on physical features, which can be applied and validated in a straightforward way to real-world networks and extreme weather conditions once data of the actual physical networks and their past impact outcomes becomes available. The proposed methodology is provided as open source, ensuring accessibility and transparency for further research and application.</t>
  </si>
  <si>
    <t>Graph signal processing (GSP) deals with the representation, analysis, and processing of structured data, i.e. graph signals that are defined on the vertex set of a generic graph. A crucial prerequisite for applying various GSP and graph neural network (GNN) approaches is that the examined signals are smooth graph signals with respect to the underlying graph, or, equivalently, have low graph total variation (TV). In this paper, we develop GSP-based approaches to verify the validity of the smoothness assumption of given signals (data) and an associated graph. The proposed approaches are based on the representation of network data as the output of a graph filter with a given graph topology. In particular, we develop two smoothness detectors for the graph-filter-output model: 1) the likelihood ratio test (LRT) for known model parameters; and 2) a semi-parametric detector that estimates the graph filter and then validates its smoothness. The properties of the proposed GSP-based detectors are investigated, and some special cases are discussed. The performance of the GSP-based detectors is evaluated using synthetic data, data from the IEEE 14-bus power system, and measurements from a network of light intensity sensors, under different setups. The results demonstrate the good detection performance of the proposed approach and its robustness to different generating models, noise levels, topology changes, and the number of samples.</t>
  </si>
  <si>
    <t>In a wide spectrum of real-world applications, it is very important to analyze and mine graph data such as social networks, communication networks, citation networks, and so on. However, the release of such graph data often raises privacy issue, and the graph privacy preservation has recently drawn much attention from the database community. While prior works on graph privacy preservation mainly focused on protecting the privacy of either the graph structure only or vertex attributes only, in this paper, we propose a novel mechanism for graph privacy preservation by considering attacks from both graph structures and vertex attributes, which transforms the original graph to a so-called $kt$kt-safe graph, via $k$k-anonymity and $t$t-closeness. We prove that the generation of a $kt$kt-safe graph is NP-hard, therefore, we propose a feasible framework for effectively and efficiently anonymizing a graph with low anonymization cost. In particular, we design a cost-model-based graph partitioning approach to enable our proposed divide-and-conquer strategy for the graph anonymization, and propose effective optimization techniques such as pruning method and a tree synopsis to improve the anonymization efficiency over large-scale graphs. Extensive experiments have been conducted to verify the efficiency and effectiveness of our proposed $kt$kt-safe graph generation approach on both real and synthetic data sets.</t>
  </si>
  <si>
    <t>Big Data Analytics has developed as a judgment technique for unopened organizations to uncover hidden patterns, relationships, industry trends, and consumption patterns. Newline Of the most common sources of big data is Viral marketing data sets, as Web 2.0 null byte technology generate massive social corpora from our everyday routines. Newline in basic language Web 2.0 technology applications including Internet newline data analytics, relationship management, Text Analytics, and opinion line break mining depend heavily on processing.Even before compared to prestige cellular networks, 5G cellular networks have many major updates, such as network data analytics-based network data analytics, which will allow network administrators to either implement their own machine learning (ML)-based data analytics methodologies or incorporating third-party solutions into their networks. This study originally presents the structure and protocols of network data analytics based on the 3rd Generation Partnership Project (3GPP) standard standards. Then, based on the fields specified by the 3GPP specification, a cell-based artificial data set for 5G networks is built.Network slice, a major 5G technology, divides a physical network into many virtual end-to-end networks, each of which may receive logically separate network resources to offer richer services. 5G mobile data and sensor data are combining to produce an increasing network traffic. Traffic explosion has grown into a mixed network type, involving network viruses, worms, network theft, and hostile assaults. How to differentiate traffic kinds, restrict fraudulent traffic, and make optimal use of sensor data in the context of a 5G network slice, as well as the importance of this researchAdditionally, some abnormalities are added to this collected data (for examples, unexpected increased volume in a particular tissue), and so these irregularities are categorized within each compartment, subscriber’s category, and remote controller.</t>
  </si>
  <si>
    <t>In many applications, a dataset can be considered as a set of observed signals that live on an unknown underlying graph structure. Some of these signals may be seen as white noise that has been filtered on the graph topology by a graph filter. Hence, the knowledge of the filter and the graph provides valuable information about the underlying data generation process and the complex interactions that arise in the dataset. We hence introduce a novel graph signal processing framework for jointly learning the graph and its generating filter from signal observations. We cast a new optimisation problem that minimises the Wasserstein distance between the distribution of the signal observations and the filtered signal distribution model. Our proposed method outperforms state- of-the-art graph learning frameworks on synthetic data. We then apply our method to a temperature anomaly dataset, and further show how this framework can be used to infer missing values if only very little information is available.</t>
  </si>
  <si>
    <t>Multivariate signals are signals consisting of multiple signals measured simultaneously over time and are most commonly acquired by sensor networks. The emerging field of graph signal processing (GSP) promises to analyse dynamic characteristics of multivariate signals, while at the same time taking the network, or spatial structure between the signals into account. To do so, GSP decomposes the multivariate signals into graph frequency signals, which are ordered by their magnitude. However, the meaning of the graph frequencies in terms of this ordering remains poorly understood. Here, we investigate the role the ordering plays in preserving valuable dynamic structures in the signals, with neuroimaging applications in mind. In order to overcome the limitations in sample size common to neurophysiological data sets, we introduce a minimalist simulation framework to generate arbitrary amounts of data. Using this artificial data, we find that lower graph frequency signals are less suitable for classifying neurophysiological data than higher graph frequency signals. We further introduce a baseline testing framework for GSP. Using this framework, we conclude that dynamic, or spectral structures are poorly preserved in GSP, high-lighting current limitations of GSP for neuroimaging.</t>
  </si>
  <si>
    <t>Human 3D skeleton contains important dynamic information. By learning human skeleton data, graph neural networks have achieved excellent performance in extracting motion features. And the effectiveness of generative adversarial networks in synthetic data generation attracts much interest. In this work, we propose a novel dynamic graph generative adversarial networks for skeleton-based motion prediction. Our model, which is called DG-GAN, consists of generator and discriminator networks. The generator networks use a traditional encoder-decoder architecture. The encoder uses dynamic graph structures with global spatiotemporal receptive fields to encode human skeleton sequences, and the decoder consists of a sequence of graph-based gate recurrent units to generate prediction. In addition, we train the discriminator networks to calculate the errors between the prediction and the ground truth, and propagate the errors back to improve the quality of prediction. On the Human 3. 6M dataset, DG-GAN achieves competitive performance compared to the state-of-the-art methods.</t>
  </si>
  <si>
    <t>Network demand for real-time applications like self-driving cars and cloud gaming strains existing networks. Latency and congestion hurt user experience. Realistic testing is vital to improving networks, but real-world data is scarce. In this context, we propose to analyze existing network data and identify traffic patterns and anomalies. We believe this knowledge can be used to feed generative adversarial network (GAN) models, which can create realistic synthetic data, supplementing existing real traces while protecting end-user privacy. This augmented data can then be used, for instance, to empower improved routing algorithms designed to benefit from programmable hardware (e.g., SmartNICs) and collected data plane metrics, paving the way for improved network performance and enhanced user experience with more autonomous decisions. This paper presents our initial analysis of synthetic network data generation technologies and summarizes the main ideas guiding my Ph. D. research.</t>
  </si>
  <si>
    <t>The generation of ground-movement maps using interferometric SAR is subject to faults during the acquisition and prepossessing of SAR data. This paper addresses the task of identifying and localizing such faults specifically within the context of data provided by the European Ground Motion Service (EGMS). The lack of a regular spatial domain in geospatial data poses a challenge for signal processing and machine learning. Here, we investigate graph-based methods, that overcome the spatial irregularity of the data, to perform detection and localization of data anomalies. We demonstrate on synthetic data that graph-based frequency analysis and filtering yield superior performance at anomaly localization when compared to state-of-the-art machine-learning methods such as graph U-nets. The proposed methods are employed for anomaly detection and localization on real EGMS data.</t>
  </si>
  <si>
    <t>Pixel2Mesh (P2M) is a classical approach for reconstructing 3D shapes from a single color image through coarse-to-fine mesh deformation. Although P2M is capable of generating plausible global shapes, its Graph Convolution Network (GCN) often produces overly smooth results, causing the loss of fine-grained geometry details. Moreover, P2M generates non-credible features for occluded regions and struggles with the domain gap from synthetic data to real-world images, which is a common challenge for single-view 3D reconstruction methods. To address these challenges, we propose a novel Transformer-boosted architecture, named T-Pixel2Mesh, inspired by the coarse-to-fine approach of P2M. Specifically, we use a global Transformer to control the holistic shape and a local Transformer to progressively refine the local geometry details with graph-based point upsampling. To enhance real-world reconstruction, we present the simple yet effective Linear Scale Search (LSS), which serves as prompt tuning during the input preprocessing. Our experiments on ShapeNet demonstrate state-of-the-art performance, while results on real-world data show the generalization capability.</t>
  </si>
  <si>
    <t>Synthetic data is emerging as a promising solution to the scalability issue of supervised deep learning, especially when real data are difficult to acquire or hard to annotate. Synthetic data generation, however, can itself be prohibitively expensive when domain experts have to manually and painstakingly oversee the process. More-over, neural networks trained on synthetic data often do not perform well on real data because of the domain gap. To solve these challenges, we propose Sim2SG, a self-supervised automatic scene generation technique for matching the distribution of real data. Importantly, Sim2SG does not require supervision from the real-world dataset, thus making it applicable in situations for which such annotations are difficult to obtain. Sim2SG is designed to bridge both the content and appearance gaps, by matching the content of real data, and by matching the features in the source and target domains. We select scene graph (SG) generation as the downstream task, due to the limited availability of labeled datasets. Experiments demonstrate significant improvements over leading baselines in reducing the domain gap both qualitatively and quantitatively, on several synthetic datasets as well as the real-world KITTI dataset.</t>
  </si>
  <si>
    <t>Distributed estimation of 6-DOF relative states, including three-dimensional relative poses and three-dimensional relative positions, is a key problem in UAV (Unmanned Aerial Vehicle) networks, which generally requires vision-involved iterative state estimation. How to achieve communication efficiency is a crucial challenge considering the large volume of vision data. This paper jointly considers the communication efficiency, latency, and accuracy for distributed relative state estimation involving vision data in UAV networks. The key is to solve a distributed graph optimization problem, which includes two key steps: (1) local graph construction and node state initialization in an initialization phase, and (2) iterative state update and communication with neighbors until convergence in online iteration phase. A communication efficient, Locating Then Informing (LTI) initialization scheme is proposed, which is run only once by each node to initialize each node’s local graph and initial states. For online iteration, a RIPPLE-like distributed state iteration scheme is proposed. It inherits the advantages of traditional sequential and parallel methods while avoiding their drawbacks. It enables nodes’ states to converge quickly using fewer rounds of communications. The communication costs for the initialization and online iteration processes are analyzed theoretically. Extensive evaluations use synthetic data generated by AirSim (a widely used UAV network simulation platform) and real-world data are presented. The results show that the proposed method provides accuracy comparable to the centralized graph optimization method and significantly outperforms the other distributed methods in terms of accuracy, communication cost, and latency.</t>
  </si>
  <si>
    <t>Graph prediction problems prevail in data analysis and machine learning. The inverse prediction problem, namely to infer input data from given output labels, is of emerging interest in various applications. In this work, we develop invertible graph neural network (iGNN), a deep generative model to tackle the inverse prediction problem on graphs by casting it as a conditional generative task. The proposed model consists of an invertible sub-network that maps one-to-one from data to an intermediate encoded feature, which allows forward prediction by a linear classification sub-network as well as efficient generation from output labels via a parametric mixture model. The invertibility of the encoding sub-network is ensured by a Wasserstein-2 regularization which allows free-form layers in the residual blocks. The model is scalable to large graphs by a factorized parametric mixture model of the encoded feature and is computationally scalable by using GNN layers. The existence of invertible flow mapping is backed by theories of optimal transport and diffusion process, and we prove the expressiveness of graph convolution layers to approximate the theoretical flows of graph data. The proposed iGNN model is experimentally examined on synthetic data, including the example on large graphs, and the empirical advantage is also demonstrated on real-application datasets of solar ramping event data and traffic flow anomaly detection.</t>
  </si>
  <si>
    <t>The size of knowledge graphs used in real applications grows constantly. Predicting the performance of storage solutions for knowledge graphs w.r.t. their query performance is hence of central performance for the practical use of said storage solutions. We address this challenge by learning graph invariants of a given graph. We then use these invariants to fuel a stochastic generation model that is able to generate graphs of arbitrary sizes similar to the input graph. We evaluate our graph generator, dubbed Lemming, by comparing the performance of storage solutions on synthetic and real versions of three datasets of up to 3.4 ×106 triples. Our results suggest that the performance of storage solutions on synthetic data generated by Lemming reflects their performance on real data in most of the cases. The source code of Lemming is available at https://github.com/dice-group/Lemming.</t>
  </si>
  <si>
    <t>The automatic analysis of chemical literature has immense potential to accelerate the discovery of new materials and drugs. Much of the critical information in patent documents and scientific articles is contained in figures, depicting the molecule structures. However, automatically parsing the exact chemical structure is a formidable challenge, due to the amount of detailed information, the diversity of drawing styles, and the need for training data. In this work, we introduce MolGrapher to recognize chemical structures visually. First, a deep keypoint detector detects the atoms. Second, we treat all candidate atoms and bonds as nodes and put them in a graph. This construct allows a natural graph representation of the molecule. Last, we classify atom and bond nodes in the graph with a Graph Neural Network. To address the lack of real training data, we propose a synthetic data generation pipeline producing diverse and realistic results. In addition, we introduce a large-scale benchmark of annotated real molecule images, USPTO-30K, to spur research on this critical topic. Extensive experiments on five datasets show that our approach significantly outperforms classical and learning-based methods in most settings. Code, models, and datasets are available 1.</t>
  </si>
  <si>
    <t>Every year we lose approximately many people because of myocardial infarct (MI) in India. This makes it of utmost importance to predict not only MI but early MI also. In this proposal detection of myocardial infarction using new parameters is proposed with increased accuracy and efficiency of the existing model. Additional parameters are used to predict MI with more accuracy. The proposed model is used to predict an early diagnosis of MI with the help of expertise experiences and data gathered from hospitals. At the initial stage of research, the important data is collected from hospitals. This dataset isn’t sufficient to offer to the model. Providing limited information restricts the training of the model resulting in compromised results. To overcome the difficulty, a replacement path is to be taken by feeding synthetic data so as to supply information in bulk to the model. The generation of synthetic data required a lot of research from previous research, the internet, and expertise. After all the conversations and exploration, the range for distinct parameters is observed for early MI, MI, and NON-MI which solidified a cornerstone to generate synthetic datasets.2149 patient data is collected from three hospitals in rural areas of Nagpur, Maharashtra. Based on the distribution graph synthetic datasets are created. A very novel idea is applied in this research to get better accuracy of the model. Machine learning algorithm requires a lot of data to train and test the model. Models such as SVM, Naïve Bayes, Decision Tree, Random Forest, K-Nearest Network, Quadratic discriminant analysis (QDA), AdaBoost are trained and tested on synthetic as well on actual datasets.</t>
  </si>
  <si>
    <t>This paper proposes an extension of graph patterns, referred to as ontological graph patterns (OGPs), to accelerate ontology-mediated query answering. OGPs employ graph patterns to support topological queries, attach conditions to both vertices and edges to specify additional restrictions, and support conditional partial matching semantics. Hence, OG Ps can express conjunctive queries (CQs) under ontological constraints. We develop a PTIME algorithm to generate an equivalent OGP from a CQ over the ontology specified by description logic $DL-Lite_{\mathcal{R}}$, and design a matching algorithm to match OGPs in graphs. Using real-life and synthetic data, we experimentally verify that the proposed approach outperforms the state-of-the-art algorithms for ontology-mediated query answering by 2–3 orders of magnitude.</t>
  </si>
  <si>
    <t>Skeletonization is a popular shape analysis technique that models an object’s interior as opposed to just its boundary. Fitting template-based skeletal models is a time-consuming process requiring much manual parameter tuning. Recently, machine learning-based methods have shown promise for generating s-reps from object boundaries. In this work, we propose a new skeletonization method which leverages graph convolutional networks to produce skeletal representations (s-reps) from dense segmentation masks. The method is evaluated on both synthetic data and real hippocampus segmentations, achieving promising results and fast inference.</t>
  </si>
  <si>
    <t>Large-scale language models such as GPT-4 have revolutionized data analysis and interpretation by generating human-like text, automating insights, and detecting data errors. Large-scale language models have been applied in various fields and played an important role in many aspects. Large language models can also perform financial and technical analysis by cleaning data, generating synthetic data, handling bias, and supporting natural language queries. This paper proposes a language model that integrates multimodal data with external knowledge bases and domain-specific data, enhancing its reasoning ability by extending domain-specific data. Reduce hallucinations and fine-tune domain-specific data by incorporating external knowledge bases to deepen model understanding of industry-specific language, concepts, and context. And technologies such as knowledge graph, attention mechanism, cross-modal embedding and federated collaborative training are used to deal with the challenges of different structures and semantics of multi-modal data. The model also employs a feedback loop mechanism to allow the model to adapt to changing conditions, such as changing languages or new domain information. Experimental results show that the proposed model has a preliminary domain-specific ability to analyze and predict multimodal financial and technical data.</t>
  </si>
  <si>
    <t>Hyperspectral unmixing has received increasing attention as a technique for estimating endmember spectra and fractional abundances of land covers. Encoding high-dimensional hyperspectral data into a low-dimensional latent space to generate reasonable abundances, autoencoder (AE) has shown its great potential and attractive advantages in spectral unmixing. AEs decode abundances back to spectra, which can effectively reflect the general spectral mixing process. However, most existing AE-based unmixing methods often do not fully exploit the spatial information of hyperspectral images, hindering the improvement of unmixing accuracy. This article proposes a graph attention convolutional autoencoder architecture for hyperspectral unmixing. By incorporating graph attention convolution into AE, the proposed method performs better in leveraging both long-range and short-range spatial information of hyperspectral images. Accurate abundances with global and local spatial consistency can be efficiently learned by the network. Moreover, the decoder is further improved based on the postpolynomial nonlinear mixing model to make the network have stronger physical interpretability to deal with the issue of nonlinear blind unmixing. Experimental results indicate that the proposed method has good unmixing performance. It can reduce the root mean squared error of estimated abundances for synthetic data by over 10% compared to other methods. In experiments with real hyperspectral data, the difference between its unmixing results’ accuracy and the best is less than 5%.</t>
  </si>
  <si>
    <t>Power grids are becoming more digitized, resulting in new opportunities for the grid operation but also new chal-lenges, such as new threats from the cyber-domain. To address these challenges, cybersecurity solutions are being considered in the form of preventive, detective, and reactive measures. Machine learning-based intrusion detection systems are used as part of detection efforts to detect and defend against cyberattacks. However, training and testing data for these systems are often not available or suitable for use in machine learning models for detecting multi-stage cyberattacks in smart grids. In this paper, we propose a method to generate synthetic data using a graph-based approach for training machine learning models in smart grids. We use an abstract form of multi-stage cyberattacks defined via graph formulations and simulate the propagation behavior of attacks in the network. Within the selected scenarios, we observed promising results, but a larger number of scenarios need to be studied to draw a more informed conclusion about the suitability of synthesized data.</t>
  </si>
  <si>
    <t>The rapid proliferation of Internet of Things (IoT) devices has revolutionized various domains, introducing unprecedented convenience and efficiency. However, this expansion has concurrently intensified the obstacles associated with network security. Detecting and mitigating anomalies in IoT networks are of utmost importance to protect critical systems and sensitive data. This paper presents an innovative approach to IoT network security that combines Principal Component Analysis (PCA) with advanced deep learning approaches, encompassing Generative Adversarial Networks (GANs) and Transformers. In this research, we investigate the potential of PCA for dimensionality reduction and feature selection within IoT network data. By simplifying data complexity, PCA aids in uncovering critical features and patterns contributing to network anomalies. Advanced deep learning models, such as GANs for generating synthetic data and Transformers for sequence modeling, are harnessed to construct anomaly detection systems capable of identifying irregularities in real-time IoT data streams. Our approach is rigorously evaluated on a comprehensive dataset collected from diverse IoT devices and networks. The results underscore the efficacy of the PCA and deep learning-based anomaly detection model, leveraging GANs and Transformers, in accurately and efficiently unmasking anomalies in IoT network traffic. Through extensive experiments and evaluations, we underscore substantial advancements over traditional security methods. This research significantly enhances IoT network security by presenting a sophisticated, data-driven anomaly detection system adaptable to the dynamic and evolving nature of IoT environments. As the IoT landscape continues to expand, our approach offers a crucial solution to safeguard against the ever-evolving threat of network anomalies.</t>
  </si>
  <si>
    <t>Distributed denial-of-service (DDoS) attacks are a type of cyber attack that overwhelms a target server, service or network with a flood of malicious traffic, making it unavailable to legitimate users. These attacks have become a major threat to the security of computer networks and systems, and effective intrusion detection systems (IDSs) are essential for detecting and mitigating these attacks. IDSs are used to monitor network traffic for malicious activity and can help detect and prevent DDoS attacks. Most IDSs are often designed to identify diverse types of attacks, but their efficacy can be limited when faced with attacks that exhibit extensive variations and sophisticated techniques, such as DDoS. In order to establish an effective IDS capable of identifying DDoS attacks, the acquisition of substantial volumes of labelled network data becomes crucial. This study aims to evaluate the performance of recent generative models in synthesising realistic tabular data to accurately emulate DDoS attack patterns. To achieve this, we used the CIC-DDOS2019 dataset, a comprehensive and modern collection of real-world DDoS attack scenarios. Leveraging state-of-the-art generative models, namely CTGAN, TVAE, and CopulaGAN, we synthesised realistic tabular data that emulated the characteristics and patterns observed in DDoS attack flow. We utilised various statistical metrics such as correlation scores, similarity and distance metrics, along with machine learning performance metrics, to quantitatively measure the performance of the generative models. The findings indicate that all three models have the ability to accurately emulate the patterns found in the real database, resulting in the generation of useful synthetic data. Specifically, among the classification methods used, the Random Forest method showed the most successful performance in detecting attacks with an accuracy of 99% when applied to the original dataset. In comparison, it achieved accuracy levels of 98%, 99%, and 93% when applied to datasets generated using the CTGAN, CopulaGAN, and TVAE models respectively. It can be concluded that generative networks have the potential to be useful in synthesising tabular data and may contribute to the overall performance of existing and future IDS. However, it is crucial to acknowledge that to cover a wider spectrum of attacks, more specific adjustments may need to be applied both in the data preprocessing stage and in the model architectures.</t>
  </si>
  <si>
    <t>Multi-source heterogeneous knowledge collaboration is the technical foundation for establishing a complete knowledge base. A parallel reasoning framework based on the ACP method is proposed to establish a complete knowledge base. The contribution of this framework is three-fold. First, it provides a virtual experimental platform for generating the artificial data needed for missing knowledge extraction by constructing an artificial system. Second, it generates artificial big data and organizes it into a knowledge graph to achieve structured representation and storage of system control knowledge by carrying out calculation experiments related to missing scene knowledge. Finally, it achieves unbiased application and update of knowledge through parallel execution, completing the optimization and control of the actual system. Parallel reasoning provides an effective technical means for multi-source knowledge collaboration and provides strong support for building knowledge-enhanced complex system control systems. The effectiveness of parallel reasoning is verified through experiments.</t>
  </si>
  <si>
    <t>IOTA organizes transactions in the ledger as a Directed Acyclic Graph (DAG) called Tangle, instead of a hash chain of transaction blocks used by most of traditional blockchains. IOTA is considered a promising platform to support Internet-of-Things (IoT) applications with its key features such as micropayment support and absence of transaction fees. While prior art shows extensive analysis based on synthetic data generated through simulations, an analysis based on empirical data from a deployed IOTA network is still missing. In this paper, we provide the first comprehensive analysis by using real transaction data officially published by IOTA Foundation. Our key finding is that neither the tangle's topological features nor the actual observed performance is consistent with the main conclusions from the literature. In particular, most of transactions take roughly 10 minutes to be officially confirmed, which is not exactly instant as commonly assumed; yet, what is arguably worse is that there is a certain amount (5%) of transactions experiencing exceptionally long confirmation time. This shows that IOTA still has gaps to meet the stringent requirements of IoT applications that are delay sensitive.</t>
  </si>
  <si>
    <t>Enabling household robots to passively learn task-level skills from human demonstration could substantially boost their application in daily life. In this letter, we propose a Learning from Demonstration (LfD) scheme capturing human uni/bimanual demonstrations with motion capture suit and virtual reality (VR) trackers, wherein the demonstrated skills are transferred to a humanoid with a learnable graph attention network (GAT) based model. The model trained with human hand trajectories and target object poses yield the movement policy as a trajectory generator, which outputs the Cartesian trajectories for robot end-effectors to execute the task given their poses and optionally the object’s initial pose as input. Test on synthetic data and three real robot experiments indicated that the policy could learn unimanual and coordinated bimanual, interactive and non-interactive manipulation skills with a unified scheme.</t>
  </si>
  <si>
    <t>In this work, we present an attention-based encoder–decoder model to approximately solve the team orienteering problem with multiple depots (TOPMD). The TOPMD instance is an NP-hard combinatorial optimization problem that involves multiple agents (or autonomous vehicles) and not purely Euclidean (straight line distance) graph edge weights. In addition, to avoid tedious computations on dataset creation, we provide an approach to generate synthetic data on the fly for effectively training the model. Furthermore, to evaluate our proposed model, we conduct two experimental studies on the multi-agent reconnaissance mission planning problem formulated as TOPMD. First, we characterize the model based on the training configurations to understand the scalability of the proposed approach to unseen configurations. Second, we evaluate the solution quality of the model against several baselines—heuristics, competing machine learning (ML), and exact approaches, on several reconnaissance scenarios. The experimental results indicate that training the model with a maximum number of agents, a moderate number of targets (or nodes to visit), and moderate travel length, performs well across a variety of conditions. Furthermore, the results also reveal that the proposed approach offers a more tractable and higher quality (or competitive) solution in comparison with existing attention-based models, stochastic heuristic approach, and standard mixed-integer programming solver under the given experimental conditions. Finally, the different experimental evaluations reveal that the proposed data generation approach for training the model is highly effective.</t>
  </si>
  <si>
    <t>Recent advances in neuromorphic algorithm development have shown that neural inspired architectures can efficiently solve scientific computing problems including graph decision problems and partial-integro differential equations (PIDEs). The latter requires the generation of a large number of samples from a stochastic process. While the Monte Carlo approximation of the solution of the PIDEs converges with an increasing number of sampled neuromorphic trajectories, the fidelity of samples from a given stochastic process using neuromorphic hardware requires verification. Such an exercise increases our trust in this emerging hardware and works toward unlocking its energy and scaling efficiency for scientific purposes such as synthetic data generation and stochastic simulation. In this paper, we focus our verification efforts on a one-dimensional Ornstein- Uhlenbeck stochastic differential equation. Using a discrete-time Markov chain approximation, we sample trajectories of the stochastic process across a variety of parameters on an Intel 8- Loihi chip Nahuku neuromorphic platform. Using relative entropy as a verification measure, we demonstrate that the random samples generated on Loihi are, in an average sense, acceptable. Finally, we demonstrate how Loihi's fidelity to the distribution changes as a function of the parameters of the Ornstein- Uhlenbeck equation, highlighting a trade-off between the lower-precision random number generation of the neuromorphic platform and our algorithm's ability to represent a discrete-time Markov chain.</t>
  </si>
  <si>
    <t>In supervised learning, the algorithm accuracy usually improves with the size of the labeled dataset used for training the classifier. However, in many real-life scenarios, obtaining enough labeled data is costly or even not possible. In many circumstances, Data Augmentation (DA) techniques are usually employed, generating more labeled data for training machine learning algorithms. The common DA techniques are applied to already labeled data, generating simple variations of this data. For example, for image classification, image samples are rotated, cropped, flipped or other operators to generate variations of input image samples, and keeping their original labels. Other options are using Neural Networks algorithms that create new synthetic data or to employ Semi-supervised Learning (SSL) that label existing unlabeled data. In this paper, we perform a comparison among graph-based semi-supervised learning (GSSL) algorithms to augment the labeled dataset. The main advantage of using GSSL is that we can increase the training set by adding non-annotated images to the training set, therefore, we can benefit from the huge amount of unlabeled data available. Experiments are performed on five datasets for recognition of handwritten digits and letters (MNIST and EMINIST), animals (Dogs vs Cats), clothes (MNIST-Fashion) and remote sensing images (Brazilian Coffee Scenes), in which we compare different possibilities for DA, including the GSSL, Generative Adversarial Networks (GANs) and traditional Image Transformations (IT) applied on input labeled data. We also evaluated the impact of such techniques on different convolutional neural networks (CNN). Results indicate that, although all DA techniques performed well, GSSL was more robust to different image properties, presenting less accuracy variation across datasets.</t>
  </si>
  <si>
    <t>Individual-level data (microdata) that characterizes a population, is essential for studying many real-world problems. However, acquiring such data is not straightforward due to cost and privacy constraints, and access is often limited to aggregated data (macro data) sources. In this study, we examine synthetic data generation as a tool to extrapolate difficult-to-obtain high-resolution data by combining information from multiple easier-to-obtain lower-resolution data sources. In particular, we introduce a framework that uses a combination of univariate and multivariate frequency tables from a given target geographical location in combination with frequency tables from other auxiliary locations to generate synthetic microdata for individuals in the target location. Our method combines the estimation of a dependency graph and conditional probabilities from the target location with the use of a Gaussian copula to leverage the available information from the auxiliary locations. We perform extensive testing on two real-world datasets and demonstrate that our approach outperforms prior approaches in preserving the overall dependency structure of the data while also satisfying the constraints defined on the different variables.</t>
  </si>
  <si>
    <t>The research on complex networks has achieved significant progress in revealing the mesoscopic features of networks. Community detection is an important aspect of understanding real-world complex systems. We present in this paper a High-order node proximity Spectral Clustering on Ratios-of-Eigenvectors (SCOREH+) algorithm for locating communities in complex networks. The algorithm improves SCORE and SCORE+ and preserves high-order transitivity information of the network affinity matrix. We optimize the high-order proximity matrix from the initial affinity matrix using the Radial Basis Functions (RBFs) and Katz index. In addition to the optimization of the Laplacian matrix, we implement a procedure that joins an additional eigenvector (the $(k+1){\rm th}$(k+1) th  leading eigenvector) to the spectrum domain for clustering if the network is considered to be a “weak signal” graph. The algorithm has been successfully applied to both real-world and synthetic data sets. The proposed algorithm is compared with state-of-art algorithms, such as ASE, Louvain, Fast-Greedy, Spectral Clustering (SC), SCORE, and SCORE+. To demonstrate the high efficacy of the proposed method, we conducted comparison experiments on eleven real-world networks and a number of synthetic networks with noise. The experimental results in most of these networks demonstrate that SCOREH+ outperforms the baseline methods. Moreover, by tuning the RBFs and their shaping parameters, we may generate state-of-the-art community structures on all real-world networks and even on noisy synthetic networks.</t>
  </si>
  <si>
    <t>We propose a counterfactual approach to train “causality-aware” predictive models that are able to leverage causal information in static anticausal machine learning tasks (i.e., prediction tasks where the outcome influences the inputs). In applications plagued by confounding, the approach can be used to generate predictions that are free from the influence of observed confounders. In applications involving observed mediators, the approach can be used to generate predictions that only capture the direct or the indirect causal influences. Mechanistically, we train supervised learners on (counterfactually) simulated inputs that retain only the associations generated by the causal relations of interest. We focus on linear models, where analytical results connecting covariances, causal effects, and prediction mean square errors are readily available. Quite importantly, we show that our approach does not require knowledge of the full causal graph. It suffices to know which variables represent potential confounders and/or mediators. We investigate the stability of the method with respect to dataset shifts generated by selection biases and also relax the linearity assumption by extending the approach to additive models better able to account for nonlinearities in the data. We validate our approach in a series of synthetic data experiments and illustrate its application to a real dataset.</t>
  </si>
  <si>
    <t>https://ieeexplore.ieee.org/stamp/stamp.jsp?arnumber=8977492</t>
  </si>
  <si>
    <t>https://ieeexplore.ieee.org/stamp/stamp.jsp?arnumber=10499002</t>
  </si>
  <si>
    <t>https://ieeexplore.ieee.org/stamp/stamp.jsp?arnumber=10668982</t>
  </si>
  <si>
    <t>https://ieeexplore.ieee.org/stamp/stamp.jsp?arnumber=10629212</t>
  </si>
  <si>
    <t>https://ieeexplore.ieee.org/stamp/stamp.jsp?arnumber=9944955</t>
  </si>
  <si>
    <t>https://ieeexplore.ieee.org/stamp/stamp.jsp?arnumber=10094324</t>
  </si>
  <si>
    <t>https://ieeexplore.ieee.org/stamp/stamp.jsp?arnumber=9413778</t>
  </si>
  <si>
    <t>https://ieeexplore.ieee.org/stamp/stamp.jsp?arnumber=9338405</t>
  </si>
  <si>
    <t>https://ieeexplore.ieee.org/stamp/stamp.jsp?arnumber=10014954</t>
  </si>
  <si>
    <t>https://ieeexplore.ieee.org/stamp/stamp.jsp?arnumber=9661009</t>
  </si>
  <si>
    <t>https://ieeexplore.ieee.org/stamp/stamp.jsp?arnumber=9258542</t>
  </si>
  <si>
    <t>https://ieeexplore.ieee.org/stamp/stamp.jsp?arnumber=10048962</t>
  </si>
  <si>
    <t>https://ieeexplore.ieee.org/stamp/stamp.jsp?arnumber=10588944</t>
  </si>
  <si>
    <t>https://ieeexplore.ieee.org/stamp/stamp.jsp?arnumber=10103196</t>
  </si>
  <si>
    <t>https://ieeexplore.ieee.org/stamp/stamp.jsp?arnumber=10641404</t>
  </si>
  <si>
    <t>https://ieeexplore.ieee.org/stamp/stamp.jsp?arnumber=10446395</t>
  </si>
  <si>
    <t>https://ieeexplore.ieee.org/stamp/stamp.jsp?arnumber=9711453</t>
  </si>
  <si>
    <t>https://ieeexplore.ieee.org/stamp/stamp.jsp?arnumber=10038530</t>
  </si>
  <si>
    <t>https://ieeexplore.ieee.org/stamp/stamp.jsp?arnumber=9950057</t>
  </si>
  <si>
    <t>https://ieeexplore.ieee.org/stamp/stamp.jsp?arnumber=9364380</t>
  </si>
  <si>
    <t>https://ieeexplore.ieee.org/stamp/stamp.jsp?arnumber=10378261</t>
  </si>
  <si>
    <t>https://ieeexplore.ieee.org/stamp/stamp.jsp?arnumber=9673210</t>
  </si>
  <si>
    <t>https://ieeexplore.ieee.org/stamp/stamp.jsp?arnumber=8782142</t>
  </si>
  <si>
    <t>https://ieeexplore.ieee.org/stamp/stamp.jsp?arnumber=9710451</t>
  </si>
  <si>
    <t>https://ieeexplore.ieee.org/stamp/stamp.jsp?arnumber=9636343</t>
  </si>
  <si>
    <t>https://ieeexplore.ieee.org/stamp/stamp.jsp?arnumber=10598124</t>
  </si>
  <si>
    <t>https://ieeexplore.ieee.org/stamp/stamp.jsp?arnumber=10620428</t>
  </si>
  <si>
    <t>https://ieeexplore.ieee.org/stamp/stamp.jsp?arnumber=10635871</t>
  </si>
  <si>
    <t>https://ieeexplore.ieee.org/stamp/stamp.jsp?arnumber=10373245</t>
  </si>
  <si>
    <t>https://ieeexplore.ieee.org/stamp/stamp.jsp?arnumber=10229311</t>
  </si>
  <si>
    <t>https://ieeexplore.ieee.org/stamp/stamp.jsp?arnumber=10202747</t>
  </si>
  <si>
    <t>https://ieeexplore.ieee.org/stamp/stamp.jsp?arnumber=9143579</t>
  </si>
  <si>
    <t>https://ieeexplore.ieee.org/stamp/stamp.jsp?arnumber=10004904</t>
  </si>
  <si>
    <t>https://ieeexplore.ieee.org/stamp/stamp.jsp?arnumber=9762395</t>
  </si>
  <si>
    <t>https://ieeexplore.ieee.org/stamp/stamp.jsp?arnumber=10577645</t>
  </si>
  <si>
    <t>https://ieeexplore.ieee.org/stamp/stamp.jsp?arnumber=10545733</t>
  </si>
  <si>
    <t>https://ieeexplore.ieee.org/stamp/stamp.jsp?arnumber=10538767</t>
  </si>
  <si>
    <t>https://ieeexplore.ieee.org/stamp/stamp.jsp?arnumber=10394535</t>
  </si>
  <si>
    <t>https://ieeexplore.ieee.org/stamp/stamp.jsp?arnumber=9322220</t>
  </si>
  <si>
    <t>https://ieeexplore.ieee.org/stamp/stamp.jsp?arnumber=9720487</t>
  </si>
  <si>
    <t>https://ieeexplore.ieee.org/stamp/stamp.jsp?arnumber=9798874</t>
  </si>
  <si>
    <t>https://ieeexplore.ieee.org/stamp/stamp.jsp?arnumber=9741087</t>
  </si>
  <si>
    <t>https://ieeexplore.ieee.org/stamp/stamp.jsp?arnumber=9167299</t>
  </si>
  <si>
    <t>https://ieeexplore.ieee.org/stamp/stamp.jsp?arnumber=9524484</t>
  </si>
  <si>
    <t>https://ieeexplore.ieee.org/stamp/stamp.jsp?arnumber=9743182</t>
  </si>
  <si>
    <t>https://ieeexplore.ieee.org/stamp/stamp.jsp?arnumber=9265996</t>
  </si>
  <si>
    <t>https://ieeexplore.ieee.org/stamp/stamp.jsp?arnumber=10103583</t>
  </si>
  <si>
    <t>https://ieeexplore.ieee.org/stamp/stamp.jsp?arnumber=9412262</t>
  </si>
  <si>
    <t>https://ieeexplore.ieee.org/stamp/stamp.jsp?arnumber=10021001</t>
  </si>
  <si>
    <t>https://ieeexplore.ieee.org/stamp/stamp.jsp?arnumber=10373106</t>
  </si>
  <si>
    <t>https://ieeexplore.ieee.org/stamp/stamp.jsp?arnumber=9893044</t>
  </si>
  <si>
    <t>https://ieeexplore.ieee.org/stamp/stamp.jsp?arnumber=10562157</t>
  </si>
  <si>
    <t>Correlation matrix;data distribution;social graph;synthetic data generation</t>
  </si>
  <si>
    <t>Generative Adversarial Networks;Neural Network;Data Authenticity;Precision;Recall;Synthetic Data Detection</t>
  </si>
  <si>
    <t>Graph model;distribution networks;synthetic networks;physical features;weather features;probabilistic modeling;weather impact;conditional probability of damages;extreme weather conditions;outage probability;synthetic data generation;data-driven modeling;resilience</t>
  </si>
  <si>
    <t>Smooth graph signals;smooth graph filters;detection of smoothness;likelihood ratio tests</t>
  </si>
  <si>
    <t xml:space="preserve">  $kt$    k t      -safety;  $k$   k     -anonymity;  $t$   t     -closeness</t>
  </si>
  <si>
    <t>5G cellular networks;machine learning;technology of 5G;network viruses;Traffic explosion.</t>
  </si>
  <si>
    <t>GSP;graph learning;filter learning</t>
  </si>
  <si>
    <t>network embedding;robustness</t>
  </si>
  <si>
    <t>multivariate signals;neurophysiological signals;graph signal processing;graph Fourier transform</t>
  </si>
  <si>
    <t>Graph-based Clustering;Dunn Index;Markov Chain;Gene Data;Protein-Protein-Interaction Network</t>
  </si>
  <si>
    <t>computer vision;human skeleton;motion prediction;graph neural networks;generative adversarial networks</t>
  </si>
  <si>
    <t>Intrusion detection system;synthetic data generation;generative adversarial networks</t>
  </si>
  <si>
    <t>programmable hardware;neural networks;and network trace generation</t>
  </si>
  <si>
    <t>Adaptive neighbors;bipartite graph;dimensionality reduction;graph embedding</t>
  </si>
  <si>
    <t>InSAR;graph;fault detection</t>
  </si>
  <si>
    <t>Mesh representation;3D reconstruction;global Transformer;local Transformer</t>
  </si>
  <si>
    <t>Vision for robotics and autonomous vehicles;Scene analysis and understanding</t>
  </si>
  <si>
    <t>Communication efficiency;distributed graph optimization;relative state estimation;UAV networks</t>
  </si>
  <si>
    <t>Invertible neural networks;graph neural networks;prediction;normalizing flow;generative models</t>
  </si>
  <si>
    <t>RDF graph generation;benchmarking dataset</t>
  </si>
  <si>
    <t>Actual datasets;Synthetic datasets;MI;Early MI;NON-MI</t>
  </si>
  <si>
    <t>Adversarial learning;change detection test (CDT);constant-curvature manifold;graph stream;seizure prediction</t>
  </si>
  <si>
    <t>Scene analysis and understanding</t>
  </si>
  <si>
    <t>single-view 3D reconstruction;dynamic domain adaptation;GCN</t>
  </si>
  <si>
    <t>Ontology-mediated query answering;Ontologyical graph pattern;Query rewriting;Graph pattern matching;query processing</t>
  </si>
  <si>
    <t>Indoor localization;zero-shot learning;graph neural networks;deep vision transformer</t>
  </si>
  <si>
    <t>Geometric learning;Skeletal representations;Shape analysis;Graph-based neural networks</t>
  </si>
  <si>
    <t>Large-scale language models;financial and technical analysis;external knowledge;domain-specific data;knowledge graph</t>
  </si>
  <si>
    <t>Autoencoder;bilinear mixture model;graph attention convolutional network;hyperspectral remote sensing imagery;nonlinear spectral unmixing</t>
  </si>
  <si>
    <t>Intrusion Detection;Smart Grid;Cyberattacks;Machine Learning;Knowledge Graphs</t>
  </si>
  <si>
    <t>Handover;machine learning;NWDAF;5G networks</t>
  </si>
  <si>
    <t>Mobile network traffic data;Traffic snapshots;Synthetic data generation;Deep generative models</t>
  </si>
  <si>
    <t>Intrusion Detection;Malware;Synthetic data;Generative model;GAN;Variational Auto Encoder;Latent mixing;UNSW NB 15;NSL KDD;CIC-IDS 2017;MNIST</t>
  </si>
  <si>
    <t>Internet of Things;Network Security;Principal Component Analysis;Generative Adversarial Networks;Deep Learning-based Anomaly Detection Model</t>
  </si>
  <si>
    <t>Generative Networks;Tabular Data Generation;CIC-DDoS2019 Dataset;Intrusion Detection Systems</t>
  </si>
  <si>
    <t>IoT;Blockchain;IOTA Tangle;Performance Evaluation</t>
  </si>
  <si>
    <t>Datasets for human motion;deep learning in grasping and manipulation;dual arm manipulation;learning from demonstration</t>
  </si>
  <si>
    <t>Differential privacy;causal discovery;data privacy;data mining</t>
  </si>
  <si>
    <t>Combinatorial optimization (CO) methods;graph attention models;machine learning (ML) algorithms;multiple autonomous vehicles;reinforcement learning</t>
  </si>
  <si>
    <t>Attack detection;recommender system;information security;behavior representation</t>
  </si>
  <si>
    <t>Heterogeneous data;multiple coordinated views;data reconnaissance;bioinformatics</t>
  </si>
  <si>
    <t>neuromorphic computing;stochastic processes;data verification;random walks;spiking neural networks</t>
  </si>
  <si>
    <t>Image classification, data augmentation, image transformation, GANs, semi supervised learning, machine learning</t>
  </si>
  <si>
    <t>Computer Vision;robot sensing systems;robot localization;simultaneous localization and mapping (SLAM);visual odometry</t>
  </si>
  <si>
    <t>synthetic data generation;copula;conditional probabilities;macro data;micro data;population synthesis</t>
  </si>
  <si>
    <t>Community detection;spectral clustering;radial basis functions;high-order proximity;graph decomposition</t>
  </si>
  <si>
    <t>Anticausal prediction task;causality;dataset shifts;out-of-distribution generalization;regression</t>
  </si>
  <si>
    <t>Smart Health;Artificial Intelligence;Cognitive Assistance;Machine Learning;Augmented Reality;Edge Computing</t>
  </si>
  <si>
    <t>Valid</t>
  </si>
  <si>
    <t>Filter: Title</t>
  </si>
  <si>
    <t xml:space="preserve">Filter: Abstract </t>
  </si>
  <si>
    <t>Filter: Full Text</t>
  </si>
  <si>
    <t>Forward Search</t>
  </si>
  <si>
    <t>Title Filter</t>
  </si>
  <si>
    <t>( "Synthetic Data" OR "Artificial Data" ) AND ( "Generat*" OR "Synthesis" ) AND ( "Graph" OR "Network Data" )</t>
  </si>
  <si>
    <t>PrivLava: Synthesizing Relational Data with Foreign Keys under Differential Privacy</t>
  </si>
  <si>
    <t>Cai, Kuntai and Xiao, Xiaokui and Cormode, Graham</t>
  </si>
  <si>
    <t>Deeva, Irina and Andriushchenko, Petr D. and Kalyuzhnaya, Anna V. and Boukhanovsky, Alexander V.</t>
  </si>
  <si>
    <t>GAMLNet: a graph based framework for the detection of money laundering</t>
  </si>
  <si>
    <t>Interventional and Counterfactual Inference with Autoregressive Flow Models</t>
  </si>
  <si>
    <t>J. Schmidt; D. Pasadakis; M. Sathe; O. Schenk</t>
  </si>
  <si>
    <t>R. Cui; J. Sun; Z. Li; B. He; B. Ge; K. Yang</t>
  </si>
  <si>
    <t>The accuracy of classification algorithms in detecting fraudulent financial activity is critical in assisting human analysts in the task of preventing financial crime. We consider financial transactions in the form of a directed graph, and propose a Graph Neural Network (GNN) model for the identification of money laundering activity. Our method generates a set of structurally aware and statistically significant features for each graph node, and utilizes them as input to the GNN classifier, that comprises of the combination of the layers of two recently proposed message passing architectures. The effectiveness of our approach is demonstrated in experiments with synthetic data that simulate real-world behaviour, and are infused with seven anomalous money laundering topologies. The accuracy of our method is consistently higher than that of other GNNs and tree-based classification methods over datasets of increasing size and increasing imbalance between the fraudulent and benign classes.</t>
  </si>
  <si>
    <t>Causal inference plays a crucial role in data science applications. To address the issue of estimating the distributions of observational, interventional, and counterfactual data. We present a normalizing flow-based model for capturing causal mechanisms with known observational data and causal graphs under the causal sufficiency assumption. Extant methods involve fitting structural causal models (SCM) by reducing the causal graph into a causal ordering as the input, which is often not unique. In contrast, our proposed model, the autoregressive normalizing flow-based causal model (ANFCM), incorporates both the observational data and causal graph as prior knowledge and captures SCM for each node in the causal graph. This allows for the capture of the entire causal mechanism and the capability to answer causal queries. Experimental validation on synthetic data, generated by nonlinear additive noise models and complex non-additive noise models, demonstrates that our model has a significant improvement over state-of-the-art methods.</t>
  </si>
  <si>
    <t>Estimating a sequence of dynamic undirected graphical models, in which adjacent graphs share similar structures, is of paramount importance in various social, financial, biological, and engineering systems, since the evolution of such networks can be utilized for example to spot trends, detect anomalies, predict vulnerability, and evaluate the impact of interventions. Existing methods for learning dynamic graphical models require the tuning parameters that control the graph sparsity and the temporal smoothness to be selected via brute-force grid search. Furthermore, these methods are computationally burdensome with time complexity $\mathcal {O}(NP^3)$O(NP3) for $P$P variables and $N$N time points. As a remedy, we propose a low-complexity tuning-free Bayesian approach, named BASS. Specifically, we impose temporally dependent spike and slab priors on the graphs such that they are sparse and varying smoothly across time. An efficient variational inference algorithm based on natural gradients is then derived to learn the graph structures from the data in an automatic manner. Owing to the pseudo-likelihood and the mean-field approximation, the time complexity of BASS is only $\mathcal {O}(NP^2)$O(NP2). To cope with the local maxima problem of variational inference, we resort to simulated annealing and propose a method based on bootstrapping of the observations to generate the annealing noise. We provide numerical evidence that BASS outperforms existing methods on synthetic data in terms of structure estimation, while being more efficient especially when the dimension $P$P becomes high. We further apply the approach to the stock return data of 78 banks from 2005 to 2013 and find that the number of edges in the financial network as a function of time contains three peaks, in coincidence with the 2008 global financial crisis and the two subsequent European debt crisis. On the other hand, by identifying the frequency-domain resemblance to the time-varying graphical models, we show that BASS can be extended to learning frequency-varying inverse spectral density matrices, and further yields graphical models for multivariate stationary time series. As an illustration, we analyze scalp EEG signals of patients at the early stages of Alzheimer’s disease (AD) and show that the brain networks extracted by BASS can better distinguish between the patients and the healthy controls.</t>
  </si>
  <si>
    <t>https://ieeexplore.ieee.org/stamp/stamp.jsp?arnumber=10675815</t>
  </si>
  <si>
    <t>https://ieeexplore.ieee.org/stamp/stamp.jsp?arnumber=10675848</t>
  </si>
  <si>
    <t>Anomaly detection;anti-money laundering;Graph Neural Networks</t>
  </si>
  <si>
    <t>Interventional;Counterfactual Inference;Autoregressive normalizing flows;Causal inference</t>
  </si>
  <si>
    <t>Machine learning (ML) is widely being regarded as a powerful technology to solve various complex problems in fiber-optic communication networks. Recently, ML algorithms have been considered for a variety of use-cases in optical networks ranging from the design of network devices to the compensation of transmission impairments to predicting network-wide traffic flow patterns. As ML techniques are inherently data driven, the availability of relevant data sets largely dictates the performance of developed ML models. Presently, majority of ML-aided methods in the literature rely either on synthetic data from certain simulation tools or exploit data from some simple laboratory setups. However, developing robust ML-based solutions for real fiber-optic networks demands assembling big data from various parts as well as across different layers and domains of the network. Unfortunately, there is currently a lack of understanding among the research community about various crucial data aspects in practical optical networks as well as key challenges faced. While there has been a plethora of works discussing numerous ML applications in fiber-optic communications and networking, to the best of our knowledge, there is presently no paper which particularly focuses on data perspectives. In this paper, we aim to shed light on various critical data factors by first describing the tools and technologies imperative for adequate network monitoring and data acquisition. We also elucidate different data types, their physical sources, and their applications. Several useful data handling and pre-processing techniques for efficient network data collection, storage, presentation, analysis, etc., are discussed. Major challenges in the generation, transmission, and sharing of the data are highlighted and some potential solutions to the outstanding problems are proposed, thus paving the way for seamless availability of pertinent data sets essential for realizing intelligent data-driven operations in future fiber-optic networks.  © 1986-2012 IEEE.</t>
  </si>
  <si>
    <t>The concept of a digital twin came from the engineering, industrial, and manufacturing domains to create virtual objects or machines that could inform the design and development of real objects. This idea is appealing for precision medicine where digital twins of patients could help inform healthcare decisions. We have developed a methodology for generating and using digital twins for clinical outcome prediction. We introduce a new approach that combines synthetic data and network science to create digital twins (i.e. SynTwin) for precision medicine. First, our approach starts by estimating the distance between all subjects based on their available features. Second, the distances are used to construct a network with subjects as nodes and edges defining distance less than the percolation threshold. Third, communities or cliques of subjects are defined. Fourth, a large population of synthetic patients are generated using a synthetic data generation algorithm that models the correlation structure of the data to generate new patients. Fifth, digital twins are selected from the synthetic patient population that are within a given distance defining a subject community in the network. Finally, we compare and contrast community-based prediction of clinical endpoints using real subjects, digital twins, or both within and outside of the community. Key to this approach are the digital twins defined using patient similarity that represent hypothetical unobserved patients with patterns similar to nearby real patients as defined by network distance and community structure. We apply our SynTwin approach to predicting mortality in a population-based cancer registry (n=87,674) from the Surveillance, Epidemiology, and End Results (SEER) program from the National Cancer Institute (USA). Our results demonstrate that nearest network neighbor prediction of mortality in this study is significantly improved with digital twins (AUROC=0.864, 95% CI=0.857-0.872) over just using real data alone (AUROC=0.791, 95% CI=0.781-0.800). These results suggest a network-based digital twin strategy using synthetic patients may add value to precision medicine efforts.  © 2023 The Authors.</t>
  </si>
  <si>
    <t>Money laundering is the process by which criminals move large sums of illicit money to hidden locations and integrate them as legal funds through existing financial services. The United Nations (UN) estimates that 2 to 5% of global GDP, which is approximately 0.8 to 2.0 trillion dollars, is laundered globally every year. Therefore, accurately identifying such globally alarming activities is crucial for enforcing anti-money laundering (AML) measures. Numerous techniques have been proposed to detect money laundering from transaction graphs of money transfers between bank accounts by analysing the structural and behavioural dynamics of their corresponding dense subgraphs. However, these techniques often do not consider that money laundering usually involves high-volume flows of funds through chains of bank accounts. Moreover, most AML approaches either result in lower detection accuracy or incur higher computational costs, making them less reliable and suitable for real financial systems. Consequently, only a fraction of money laundering activities can be detected and prevented. In this paper, we propose an efficient approach to AML by employing semi-supervised graph learning techniques on a large-scale financial transactional graph in both pipeline settings (i.e., graph embedding models are first trained to generate node embeddings that are combined with additional topological graph features to train binary classifiers) and end-to-end settings (i.e., node classification is performed by training SkipGCN, FastGCN, and EvolveGCN without requiring separate classifiers) to identify nodes involved in potential money laundering activities. We evaluate our approach on four datasets: AMLSim, Elliptic, IBM AML, and SynthAML, with a view to scalability and practicality for real financial systems. Further, we provide local (e.g., how money is laundered between nodes) and global (e.g., what factors contribute to money laundering) explanations of the predictions by highlighting the predominant factors in money laundering cases and elucidating the mechanisms of illicit fund transfers between nodes to enhance the interpretability and transparency of the AML models. Experimental results suggest that our approach is scalable and effective at detecting money laundering from real and synthetic transaction graphs.  © 2013 IEEE.</t>
  </si>
  <si>
    <t>Distributed denial-of-service (DDoS) attacks are a type of cyber attack that overwhelms a target server, service or network with a flood of malicious traffic, making it unavailable to legitimate users. These attacks have become a major threat to the security of computer networks and systems, and effective intrusion detection systems (IDSs) are essential for detecting and mitigating these attacks. IDSs are used to monitor network traffic for malicious activity and can help detect and prevent DDoS attacks. Most IDSs are often designed to identify diverse types of attacks, but their efficacy can be limited when faced with attacks that exhibit extensive variations and sophisticated techniques, such as DDoS. In order to establish an effective IDS capable of identifying DDoS attacks, the acquisition of substantial volumes of labelled network data becomes crucial. This study aims to evaluate the performance of recent generative models in synthesising realistic tabular data to accurately emulate DDoS attack patterns. To achieve this, we used the CIC-DDOS2019 dataset, a comprehensive and modern collection of real-world DDoS attack scenarios. Leveraging state-of-the-art generative models, namely CTGAN, TVAE, and CopulaGAN, we synthesised realistic tabular data that emulated the characteristics and patterns observed in DDoS attack flow. We utilised various statistical metrics such as correlation scores, similarity and distance metrics, along with machine learning performance metrics, to quantitatively measure the performance of the generative models. The findings indicate that all three models have the ability to accurately emulate the patterns found in the real database, resulting in the generation of useful synthetic data. Specifically, among the classification methods used, the Random Forest method showed the most successful performance in detecting attacks with an accuracy of 99% when applied to the original dataset. In comparison, it achieved accuracy levels of 98%, 99%, and 93% when applied to datasets generated using the CTGAN, CopulaGAN, and TVAE models respectively. It can be concluded that generative networks have the potential to be useful in synthesising tabular data and may contribute to the overall performance of existing and future IDS. However, it is crucial to acknowledge that to cover a wider spectrum of attacks, more specific adjustments may need to be applied both in the data preprocessing stage and in the model architectures. © 2023 IEEE.</t>
  </si>
  <si>
    <t>The development of Network Intrusion Detection Systems (NIDS) requires labeled network traffic, especially to train and evaluate machine learning approaches. Besides the recording of traffic, the generation of traffic via generative models is a promising approach to obtain vast amounts of labeled data. There exist various machine learning approaches for data generation, but the assessment of the data quality is complex and not standardized. The lack of common quality criteria complicates the comparison of synthetic data generation approaches and synthetic data. Our work addresses this gap in multiple steps. Firstly, we review and categorize existing approaches for evaluating synthetic data in the network traffic domain and other data domains as well. Secondly, based on our review, we compile a setup of metrics that are suitable for the NetFlow domain, which we aggregate into two metrics Data Dissimilarity Score and Domain Dissimilarity Score. Thirdly, we evaluate the proposed metrics on real world data sets, to demonstrate their ability to distinguish between samples from different data sets. As a final step, we conduct a case study to demonstrate the application of the metrics for the evaluation of synthetic data. We calculate the metrics on samples from real NetFlow data sets to define an upper and lower bound for inter- and intra-data set similarity scores. Afterward, we generate synthetic data via Generative Adversarial Network (GAN) and Generative Pre-trained Transformer 2 (GPT-2) and apply the metrics to these synthetic data and incorporate these lower bound baseline results to obtain an objective benchmark. The application of the benchmarking process is demonstrated on three NetFlow benchmark data sets, NF-CSE-CIC-IDS2018, NF-ToN-IoT and NF-UNSW-NB15. Our demonstration indicates that this benchmark framework captures the differences in similarity between real world data and synthetic data of varying quality well, and can therefore be used to assess the quality of generated synthetic data. © 2024 Elsevier Ltd</t>
  </si>
  <si>
    <t>The potential for synthetic data to act as a replacement for real data in research has attracted attention in recent months due to the prospect of increasing access to data and overcoming data privacy concerns when sharing data. The field of generative artificial intelligence and synthetic data is still early in its development, with a research gap evidencing that synthetic data can adequately be used to train algorithms that can be used on real data. This study compares the performance of a series machine learning models trained on real data and synthetic data, based on the National Diet and Nutrition Survey (NDNS). Methods Features identified to be potentially of relevance by directed acyclic graphs were isolated from the NDNS dataset and used to construct synthetic datasets and impute missing data. Recursive feature elimination identified only four variables needed to predict mean arterial blood pressure: Age, sex, weight and height. Bayesian generalised linear regression, random forest and neural network models were constructed based on these four variables to predict blood pressure. Models were trained on the real data training set (n = 2408), a synthetic data training set (n = 2408) and larger synthetic data training set (n = 4816) and a combination of the real and synthetic data training set (n = 4816). The same test set (n = 424) was used for each model. Results Synthetic datasets demonstrated a high degree of fidelity with the real dataset. There was no significant difference between the performance of models trained on real, synthetic or combined datasets. Mean average error across all models and all training data ranged from 8.12 To 8.33. This indicates that synthetic data was capable of training equally accurate machine learning models as real data. Discussion Further research is needed on a variety of datasets to confirm the utility of synthetic data to replace the use of potentially identifiable patient data. There is also further urgent research needed into evidencing that synthetic data can truly protect patient privacy against adversarial attempts to re-identify real individuals from the synthetic dataset. © 2023 Public Library of Science. All rights reserved.</t>
  </si>
  <si>
    <t>This paper proposes a one-to-one trajectory synthetization method with stable long-term individual mobility behavior based on a generalizable area embedding. Previous methods concentrate on producing highly detailed data on short-term and restricted areas for, e.g., autonomous driving scenarios. Another possibility consists of city-wide and beyond scales that can be used to predict general traffic flows. The now-presented approach takes the tracked mobility behavior of individuals and creates coherent synthetic mobility data. These generated data reflect the person’s long-term mobility behavior, guaranteeing location persistency and sound embedding within the point-of-interest structure of the observed area. After an analysis and clustering step of the original data, the area is distributed into a geospatial grid structure (H3 is used here). The neighborhood relationships between the grids are interpreted as a graph. A feed-forward autoencoder and a graph encoding–decoding network generate a latent space representation of the area. The original clustered data are associated with their respective H3 grids. With a greedy algorithm approach and concerning privacy strategies, new combinations of grids are generated as top-level patterns for individual mobility behavior. Based on the original data, concrete locations within the new grids are found and connected to ways. The goal is to generate a dataset that shows equivalence in aggregated characteristics and distances in comparison with the original data. The described method is applied to a sample of 120 from a study with 1000 participants whose mobility data were generated in the city of Munich in Germany. The results show the applicability of the approach in generating synthetic data, enabling further research on individual mobility behavior and patterns. The result comprises a sharable dataset on the same abstraction level as the input data, which can be beneficial for different applications, particularly for machine learning. © 2024 by the authors.</t>
  </si>
  <si>
    <t>Synthetic data mimics the statistical properties of real-world datasets while removing reference to sensitive or confidential information in the original dataset (Quintana, 2020). Synthetic data is also useful for general model testing and development, with many methods available for generating data from machine learning models (Raghunathan, 2021). Although not widely used in the context of ecological and environmental modelling, synthetic data can support and accelerate model testing and analyses where rightsholders are sensitive to data disclosure for study areas, or data collection is expensive. In the context of reef modelling, synthetic data can be used to support model analyses that can be published without referring to specific sites, reefs, or study areas. This is desirable in the context of decision support for restoration of the Great Barrier Reef. The Reef has many stakeholders and release of early modelling results for intervention scenarios for specific areas would be premature until management or intervention strategy options have been discussed with stakeholders and/or rightsholders. Synthetic data allows a path to publish model and method demonstrations to share knowledge with the reef decision support community without prematurely suggesting policy recommendations for reefs which are sensitive to rightsholders or stakeholders. We showcase a synthetic data pipeline developed for the reef decision-support system ADRIA (Adaptive Dynamic Reef Intervention Algorithms), using methods from the Python package Synthetic Data Vault (Patki et al., 2016) and others. The synthetic data models are developed to emulate the statistics of case-study reefs for publishing decision-support tool demonstrations, testing and method validation without revealing sensitive reef site information. This pipeline includes developing models for tabular (benthic/compositional reef data), spatial-temporal (wave and heat stress data) and spatial network data (coral larval connectivity). Conditional sampling methods which connect spatial relationships across datasets are used to develop synthetic reef data packages which mimic the statistical properties of the original dataset. The utility of the synthetic data is demonstrated on a sample reef data package, and methods used for anonymizing the data are detailed. The results are discussed in the context of formalizing synthetic data for reef modelling. All synthetic data code is available at ADRIA-synthetic-data/README.md at v0.1.0 · open-AIMS/ADRIA-synthetic-data (github.com), DOI: https://doi.org/10.5281/zenodo.10158323. © 2023</t>
  </si>
  <si>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 © 2023, BioMed Central Ltd., part of Springer Nature.</t>
  </si>
  <si>
    <t>The proceedings contain 37 papers. The special focus in this conference is on Frontiers in Handwriting Recognition. The topics include: Progressive Multitask Learning Network for Online Chinese Signature Segmentation and Recognition; musigraph: Optical Music Recognition Through Object Detection and Graph Neural Network; Combining CNN and Transformer as Encoder to Improve End-to-End Handwritten Mathematical Expression Recognition Accuracy; a Vision Transformer Based Scene Text Recognizer with Multi-grained Encoding and Decoding; spatial Attention and Syntax Rule Enhanced Tree Decoder for Offline Handwritten Mathematical Expression Recognition; FPRNet: End-to-End Full-Page Recognition Model for Handwritten Chinese Essay; active Transfer Learning for Handwriting Recognition; recognition-Free Question Answering on Handwritten Document Collections; handwriting Recognition and Automatic Scoring for Descriptive Answers in Japanese Language Tests; text Edges Guided Network for Historical Document Super Resolution; a Weighted Combination of Semantic and Syntactic Word Image Representations; combining Self-training and Minimal Annotations for Handwritten Word Recognition; script-Level Word Sample Augmentation for Few-Shot Handwritten Text Recognition; Towards Understanding and Improving Handwriting with AI; chaCo: Character Contrastive Learning for Handwritten Text Recognition; enhancing Indic Handwritten Text Recognition Using Global Semantic Information; yi Characters Online Handwriting Recognition Models Based on Recurrent Neural Network: RnnNet-Yi and ParallelRnnNet-Yi; self-attention Networks for Non-recurrent Handwritten Text Recognition; an Efficient Prototype-Based Model for Handwritten Text Recognition with Multi-loss Fusion; Urdu Handwritten Ligature Generation Using Generative Adversarial Networks (GANs); curT: End-to-End Text Line Detection in Historical Documents with Transformers; SCUT-CAB: A New Benchmark Dataset of Ancient Chinese Books with Complex Layouts for Document Layout Analysis; a Benchmark Gurmukhi Handwritten Character Dataset: Acquisition, Compilation, and Recognition; synthetic Data Generation for Semantic Segmentation of Lecture Videos; generating Synthetic Styled Chu Nom Characters; UOHTD: Urdu Offline Handwritten Text Dataset; DAZeTD: Deep Analysis of Zones in Torn Documents.</t>
  </si>
  <si>
    <t>The proceedings contain 41 papers. The special focus in this conference is on Artificial Intelligence and Cognitive Science. The topics include: A Data-Driven Analysis of Formula 1 Car Races Outcome; Brain Tumor Synthetic Data Generation with Adaptive StyleGANs; challenges Associated with the Adoption of Artificial Intelligence in Medical Device Software; An Intelligent Empowering Agent (IEA) to Provide Easily Understood and Trusted Health Information Appropriate to the User Needs; Comparison and Analysis of 3 Key AI Documents: EU’s Proposed AI Act, Assessment List for Trustworthy AI (ALTAI), and ISO/IEC 42001 AI Management System; AI and ML in School Level Computing Education: Who, What and Where?; author Gender Identification Considering Gender Bias; identity Term Sampling for Measuring Gender Bias in Training Data; how Augmented Reality Beauty Filters Can Affect Self-perception; A Self-attention Guided Multi-scale Gradient GAN for Diversified X-ray Image Synthesis; Privacy-Enhanced ZKP-Inspired Framework for Balanced Federated Learning; automatic Vehicle Ego Body Extraction for Reducing False Detections in Automated Driving Applications; recommendation Uncertainty in Implicit Feedback Recommender Systems; graph-Based Diffusion Method for Top-N Recommendation; CouRGe: Counterfactual Reviews Generator for Sentiment Analysis; meme Sentiment Analysis Enhanced with Multimodal Spatial Encoding and Face Embedding; intelligent Image Compression Using Traffic Scene Analysis; aerial Object Detection for Water-Based Search &amp; Rescue; Cryptocurrency Volatility Index: An Efficient Way to Predict the Future CVI; exploring Abstractive vs. Extractive Summarisation Techniques for Sports News; spot the Fake Lungs: Generating Synthetic Medical Images Using Neural Diffusion Models; automatic Linking of Podcast Segments to Topically Related Webpages; a Large Neighborhood Search Approach for the Data Centre Machine Reassignment Problem; bayesian Optimization with Multi-objective Acquisition Function for Bilevel Problems; explaining the Effects of Preprocessing on Constraint Satisfaction Search; Variable-Relationship Guided LNS for the Car Sequencing Problem.</t>
  </si>
  <si>
    <t>The proceedings contain 103 papers. The special focus in this conference is on Machine Learning and Principles and Practice of Knowledge Discovery in Databases. The topics include: Differentially Private Learning from Label Proportions; approaches to Uncertainty Quantification in Federated Deep Learning; optimized Federated Learning on Class-Biased Distributed Data Sources; splitting Algorithms for Federated Learning; migrating Models: A Decentralized View on Federated Learning; the Effects of Randomness on the Stability of Node Embeddings; graph Homomorphism Features: Why Not Sample?; neural Maximum Independent Set; fea2Fea: Exploring Structural Feature Correlations via Graph Neural Networks; interpretable Models via Pairwise Permutations Algorithm; Web Image Context Extraction with Graph Neural Networks and Sentence Embeddings on the DOM Tree; Towards Mining Generalized Patterns from RDF Data and a Domain Ontology; homological Time Series Analysis of Sensor Signals from Power Plants; continuous-Discrete Recurrent Kalman Networks for Irregular Time Series; adversarial Generation of Temporal Data: A Critique on Fidelity of Synthetic Data; Towards Precomputed 1D-Convolutional Layers for Embedded FPGAs; embedded Face Recognition for Personalized Services in the Assistive Robotics; FLight: FPGA Acceleration of Lightweight DNN Model Inference in Industrial Analytics; exploring Cell-Based Neural Architectures for Embedded Systems; Design Space Exploration of Time, Energy, and Error Rate Trade-offs for CNNs Using Accuracy-Programmable Instruction Set Processors; a Classification of Anomaly Explanation Methods; ultra-low Power Machinery Fault Detection Using Deep Neural Networks; SPNC: Fast Sum-Product Network Inference; towards Addressing Noise and Static Variations of Analog Computations Using Efficient Retraining; The Next Frontier: AI We Can Really Trust; this Looks Like That, Because.. Explaining Prototypes for Interpretable Image Recognition; explanations for Network Embedding-Based Link Predictions.</t>
  </si>
  <si>
    <t>The proceedings contain 43 papers. The special focus in this conference is on Security and Privacy in Communication Networks. The topics include: Multi-relational Instruction Association Graph for Cross-Architecture Binary Similarity Comparison; cost-Effective Malware Classification Based on Deep Active Learning; CTDRB: Controllable Timed Data Release Using Blockchains; fairBlock: Preventing Blockchain Front-Running with Minimal Overheads; blockchain-Based Ciphertext Policy-Hiding Access Control Scheme; Granting Access Privileges Using OpenID Connect in Permissioned Distributed Ledgers; decentralized and Efficient Blockchain Rewriting with Bi-level Validity Verification; TERSE: Tiny Encryptions and Really Speedy Execution for Post-Quantum Private Stream Aggregation; symmetrical Disguise: Realizing Homomorphic Encryption Services from Symmetric Primitives; an Evolutionary Learning Approach Towards the Open Challenge of IoT Device Identification; replicated Additive Secret Sharing with the Optimized Number of Shares; Generic 2-Party PFE with Constant Rounds and Linear Active Security, and Efficient Instantiation; a Random Reversible Watermarking Scheme for Relational Data; enabling Accurate Data Recovery for Mobile Devices Against Malware Attacks; bootstrapping Trust in Community Repository Projects; assessing the Quality of Differentially Private Synthetic Data for Intrusion Detection; forensic Analysis and Detection of Spoofing Based Email Attack Using Memory Forensics and Machine Learning; attackMiner: A Graph Neural Network Based Approach for Attack Detection from Audit Logs; Hiatus: Unsupervised Generative Approach for Detection of DoS and DDoS Attacks; what Data Do the Google Dialer and Messages Apps on Android Send to Google?; SecureBERT: A Domain-Specific Language Model for Cybersecurity; detection and Privacy Leakage Analysis of Third-Party Libraries in Android Apps; Secure CV2X Using COTS Smartphones over LTE Infrastructure; DQR: A Double Q Learning Multi Agent Routing Protocol for Wireless Medical Sensor Network; message Recovery Attack of Kyber Based on Information Leakage in Decoding Operation; PII-PSM: A New Targeted Password Strength Meter Using Personally Identifiable Information; metaPriv: Acting in Favor of Privacy on Social Media Platforms.</t>
  </si>
  <si>
    <t>The proceedings contain 40 papers. The special focus in this conference is on Database and Expert Systems Applications. The topics include: Synthetic Data in Automatic Number Plate Recognition; An Untold Tale of Scientific Collaboration: SCCH and AC 2 T; on the Creation and Maintenance of a Documentation Generator in an Applied Research Context; towards the Digitalization of Additive Manufacturing; Twenty Years of Successful Translational Research: A Case Study of Three COMET Centers; data Integration, Management, and Quality: From Basic Research to Industrial Application; building a YouTube Channel for Science Communication; introduction of Visual Regression Testing in Collaboration Between Industry and Academia; vibration Analysis for Rotatory Elements Wear Detection in Paper Mill Machine; applying Time-Inhomogeneous Markov Chains to Math Performance Rating; introducing Data Science Techniques into a Company Producing Electrical Appliances; a Technology Transfer Portal to Promote Industry-Academia Collaboration in South-Tyrol; fast and Automatic Object Registration for Human-Robot Collaboration in Industrial Manufacturing; sending Spies as Insurance Against Bitcoin Pool Mining Block Withholding Attacks; risks in DeFi-Lending Protocols - An Exploratory Categorization and Analysis of Interest Rate Differences; battling the Bullwhip Effect with Cryptography; Reporting of Cross-Border Transactions for Tax Purposes via DLT; securing File System Integrity and Version History Via Directory Merkle Trees and Blockchains; taxation of Blockchain Staking Rewards: Propositions Based on a Comparative Legal Analysis; comparison Framework for Blockchain Interoperability Implementations; A Comparative Analysis of Anomaly Detection Methods for Predictive Maintenance in SME; towards Strategies for Secure Data Transfer of IoT Devices with Limited Resources; application of Validation Obligations to Security Concerns; mode Switching for Secure Edge Devices; a Lifecycle Framework for Semantic Web Machine Learning Systems; enhancing TransE to Predict Process Behavior in Temporal Knowledge Graphs; an Explainable Multimodal Fusion Approach for Mass Casualty Incidents.</t>
  </si>
  <si>
    <t>Objective: Skeleton-based action recognition has been concerned in recent years, as the dynamics of human skeletons has significant information for the task of action recognition. The action of human skeletons can be seen as time series of human poses, or the combination of human joint trajectories. The trajectory of important joints indicating the action class has conveyed the most significant information among all the human joints. The trajectories of these joints have been subjected to some distortions when performing the same action under different attempts. In this case, two similar trajectories of corresponding joints should share a basic shape. However, these two trajectories have appeared in diverse kinds of distortions due to individual factors. These distortions have been caused by spatial and temporal factors. Spatial factors have included the change of viewpoints, different skeleton sizes and action amplitudes, while temporal factors indicate time scaling along the time series, denoting the order and speed of performing specific action. All the spatial factors can be modeled by the affine transformation in 3D space, whereas the uniform time scaling has been commonly discussed case, which can be seen as affine transformation in 1D space. These two kinds of distortions as the spatio-temporal dual affine transformation have been combined. A novel invariant feature under these distortions has been proposed and utilized for facilitating skeleton-based action recognition. A kind of feature invariant based on the spatio-temporal affine transformation has aided the identification of similar trajectories to be beneficial for action recognition. Method A general method for constructing spatio-temporal dual affine differential invariant (STDADI) has been proposed. The rational polynomial of derivatives of joint trajectories to obtain the invariants has been utilized in detail via eliminating the transformation parameters effectively. Robust, coordinate-system-independent feature has calculated directly from the 3D coordinates. Bounding the degree of polynomial and the order of derivatives, we generate 8 independent STDADIs and combine them as an invariant vector at each moment for each human joint. Moreover, an intuitive and effective method called channel augmentation has been proposed to extend input data with STDADI along the channel dimension for training and evaluation. Specifically, the coordinate vector and the STDADI vector at each joint for each frame have been concatenated. Channel augmentation has introduced invariant information into input data without changing the inner structure of neural networks. The spatio-temporal graph convolutional networks (ST-GCN) as the basic network have been used. The skeleton data modeling as a graph structure has envolved spatial and temporal connections between human joints simultaneously. Particularly, it has exploited local pattern and correlation from human skeletons. In other words, the importance of joints along the action sequence has been expressed as the weights of human joints in the spatio-temporal graph. This is in line with our STDADI, because both of them focus on describing joint dynamics, and our features further provide an invariant expression which is not affected by the distortions. Result The synthetic data has been examined to verify the effectiveness of STDADI as well as the large-scale action recognition dataset. First, 3D spiral line and selected joint trajectory based on NTU-RGB+D applied with random transformation parameters has shown that STDADI is invariant under the spatio-temporal affine transformations. Next, the effectiveness of the proposed feature and method has been validated on the large-scale action recognition dataset NTU(Nanyang Technological University)RGB+D (NTU 60) and its extended version NTU-RGB+D 120 (NTU 120), which is currently the largest dataset with 3D joint annotations captured in a constrained indoor environment, and perform some detailed study to examine the contributions of STDADI. A data augmentation technique as well as the original ST-GCN have been as the baseline methods. The data augmentation technique has involved rotation, scaling and shear transformations of 3D skeletons. The same training strategy and hyper-parameters as the original ST-GCN have been used. ST-GCN + channel augmentation has performed well. Compared with the ST-GCN using raw data, in NTU 60, the cross-subject and cross-view recognition accuracy has been increased by 1.9% and 3.0%, respectively; in NTU 120, the cross-subject and cross-setup recognition accuracy has increased by 5.6% and 4.5% respectively. As it is mainly consisted of 3D geometric transformations, the accuracy in cross-view recognition has been much improved but contributes little to the cross-subject setting for data augmentation. The spatio-temporal dual affine transformation assumption has been validated on both evaluation criteria. Conclusion: A general method for constructing spatio-temporal dual affine differential invariant (STDADI) has been proposed. The effectiveness of this invariant feature using a channel augmentation technique has been proved on the large-scale action recognition dataset NTU-RGB+D and NTU-RGB+D 120. The combination of hand-crafted features and data-driven methods has improved the accuracy and generalization well. © 2021, Editorial Office of Journal of Image and Graphics. All right reserved.</t>
  </si>
  <si>
    <t>The proceedings contain 43 papers. The special focus in this conference is on International Conference on Model-Driven Engineering and Software Development. The topics include: The Challenges of Defining and Parsing Multi-Layer DMLA Models; code Generation by Example; value Creation Patterns for Industry-relevant Model-based Cyber-Physical Systems; ugameFeature: Automatic Code Generation for Unity Game Projects; platform-independent Specifications for Robotic Process Automation Applications; model to Hardware: System-level Modeling for Wearable Devices; AI-guided Model-Driven Embedded Software Engineering; discerning Quantities from Units of Measurement; the Problem with ‘Dimensionless Quantities’; towards a Lightweight Model-driven Smart-city Digital Twin; historical Knowledge Modelling and Analysis through Ontologies and Timeline Extraction Operators: Application to Computing Heritage; Extraction Process of the Logical Schema of a Document-oriented NoSQL Database; Automated Curation of Variational Data in NoSQL Databases through Metric-driven Self-adaptive Migration Strategies; approach to Reference Models for Building Performance Simulation; model-based Generation of Hazard-driven Arguments and Formal Verification Evidence for Assurance Cases; experimental Comparison of Two Goal-oriented Analysis Techniques; from Monolithic Models to Agile Micromodels; Safety, Security and Performance Assessment of Security Countermeasures with SysML-Sec; a Model-based System Engineering Plugin for Safety Architecture Pattern Synthesis; a Method for Detecting Common Weaknesses in Self-Sovereign Identity Systems Using Domain-Specific Models and Knowledge Graph; modeling Context-aware Systems: A Conceptualized Framework; formal Scenario-driven Logical Spaces for Randomized Synthetic Data Generation; Ontology-based Detection of Inconsistencies in UML/OCL Models; verifiable Executable Models for Decomposable Real-time Systems; modeling of Intralogistic Processes for the Implementation of Warehouse Management Systems; universal Safety Format: Automated Safety Software Generation; scenario-assisted Deep Reinforcement Learning.</t>
  </si>
  <si>
    <t>Estimating a sequence of dynamic undirected graphical models, in which adjacent graphs share similar structures, is of paramount importance in various social, financial, biological, and engineering systems, since the evolution of such networks can be utilized for example to spot trends, detect anomalies, predict vulnerability, and evaluate the impact of interventions. Existing methods for learning dynamic graphical models require the tuning parameters that control the graph sparsity and the temporal smoothness to be selected via brute-force grid search. Furthermore, these methods are computationally burdensome with time complexity O(NP3)O(NP3) for PP variables and NN time points. As a remedy, we propose a low-complexity tuning-free Bayesian approach, named BASS. Specifically, we impose temporally dependent spike and slab priors on the graphs such that they are sparse and varying smoothly across time. An efficient variational inference algorithm based on natural gradients is then derived to learn the graph structures from the data in an automatic manner. Owing to the pseudo-likelihood and the mean-field approximation, the time complexity of BASS is only O(NP2)O(NP2). To cope with the local maxima problem of variational inference, we resort to simulated annealing and propose a method based on bootstrapping of the observations to generate the annealing noise. We provide numerical evidence that BASS outperforms existing methods on synthetic data in terms of structure estimation, while being more efficient especially when the dimension PP becomes high. We further apply the approach to the stock return data of 78 banks from 2005 to 2013 and find that the number of edges in the financial network as a function of time contains three peaks, in coincidence with the 2008 global financial crisis and the two subsequent European debt crisis. On the other hand, by identifying the frequency-domain resemblance to the time-varying graphical models, we show that BASS can be extended to learning frequency-varying inverse spectral density matrices, and further yields graphical models for multivariate stationary time series. As an illustration, we analyze scalp EEG signals of patients at the early stages of Alzheimer's disease (AD) and show that the brain networks extracted by BASS can better distinguish between the patients and the healthy controls.  © 1979-2012 IEEE.</t>
  </si>
  <si>
    <t>Background: Genealogical information, such as that found in family trees, is imperative for biomedical research such as disease heritability and risk prediction. Researchers have used policyholder and their dependent information in medical claims data and emergency contacts in electronic health records (EHRs) to infer family relationships at a large scale. We have previously demonstrated that online obituaries can be a novel data source for building more complete and accurate family trees. Objective: Aiming at supplementing EHR data with family relationships for biomedical research, we built an end-to-end information extraction system using a multitask-based artificial neural network model to construct genealogical knowledge graphs (GKGs) from online obituaries. GKGs are enriched family trees with detailed information including age, gender, death and birth dates, and residence. Methods: Built on a predefined family relationship map consisting of 4 types of entities (eg, people’s name, residence, birth date, and death date) and 71 types of relationships, we curated a corpus containing 1700 online obituaries from the metropolitan area of Minneapolis and St Paul in Minnesota. We also adopted data augmentation technology to generate additional synthetic data to alleviate the issue of data scarcity for rare family relationships. A multitask-based artificial neural network model was then built to simultaneously detect names, extract relationships between them, and assign attributes (eg, birth dates and death dates, residence, age, and gender) to each individual. In the end, we assemble related GKGs into larger ones by identifying people appearing in multiple obituaries. Results: Our system achieved satisfying precision (94.79%), recall (91.45%), and F-1 measures (93.09%) on 10-fold cross-validation. We also constructed 12,407 GKGs, with the largest one made up of 4 generations and 30 people. Conclusions: In this work, we discussed the meaning of GKGs for biomedical research, presented a new version of a corpus with a predefined family relationship map and augmented training data, and proposed a multitask deep neural system to construct and assemble GKGs. The results show our system can extract and demonstrate the potential of enriching EHR data for more genetic research. We share the source codes and system with the entire scientific community on GitHub without the corpus for privacy protection. ©Kai He, Lixia Yao, JiaWei Zhang, Yufei Li, Chen Li.</t>
  </si>
  <si>
    <t>Epidemic outbreaks represent a significant concern for the current state of global health, particularly in Brazil, the epicentre of several vector-borne disease outbreaks and where epidemic control is still a challenge for the scientific community. Data science techniques applied to epidemics are usually made via standard statistical and modelling approaches, which do not always lead to reliable predictions, especially when the data lacks a piece of reliable surveillance information needed for precise parameter estimation. In particular, dengue outbreaks reported over the past years raise concerns for global health care, and thus novel data-driven methods are necessary to predict the emergence of outbreaks. In this work, we propose a parameter-free approach based on geometric and topological techniques, which extracts geometrical and topological invariants as opposed to statistical summaries used in established methods. Specifically, our procedure generates a time-varying network from a time-series of new epidemic cases based on synthetic time-series and real dengue data across several districts of Recife, the fourth-largest urban area in Brazil. Subsequently, we use the Euler characteristic (EC) to extract key topological invariant of the epidemic time-varying network and we finally compared the results with the effective reproduction number (R t ) for each data set. Our results unveil a strong correlation between epidemic outbreaks and the EC. In fact, sudden changes in the EC curve preceding and/or during an epidemic period emerge as a warning sign for an outbreak in the synthetic data, the EC transitions occur close to the periods of epidemic transitions, which is also corroborated. In the real dengue data, where data is intrinsically noise, the EC seems to show a better sign-to-noise ratio once compared to R t . In analogy with later studies on noisy data by using EC in positron emission tomography scans, the EC estimates the number of regions with high connectivity in the epidemic network and thus has potential to be a signature of the emergence of an epidemic state. Our results open the door to the development of alternative/complementary topological and geometrical data-driven methods to characterise vector-borne disease outbreaks, specially when the conventional epidemic surveillance methods are not effective in a scenario of extreme noise and lack of robustness in the data. © 2022 IOP Publishing Ltd and SISSA Medialab srl.</t>
  </si>
  <si>
    <t>The proceedings contain 48 papers. The special focus in this conference is on Italian Association for Artificial Intelligence. The topics include: Effective Analysis of Industry-Relevant Cyber-Physical Systems via Statistical Model Checking; A Comparative Study of AI Search Methods for Personalised Cancer Therapy Synthesis in COPASI; explainable Artificial Intelligence for Technology Policy Making Using Attribution Networks; robust Optimization Models For Local Flexibility Characterization of Virtual Power Plants; Continuous Defect Prediction in CI/CD Pipelines: A Machine Learning-Based Framework; Tafl-ES: Exploring Evolution Strategies for Asymmetrical Board Games; knowledge-Based Neural Pre-training for Intelligent Document Management; detection Accuracy for Evaluating Compositional Explanations of Units; Generating Local Textual Explanations for CNNs: A Semantic Approach Based on Knowledge Graphs; Highlighting the Importance of Reducing Research Bias and Carbon Emissions in CNNs; deep Learning of Recurrence Texture in Physiological Signals; adversarial Machine Learning in e-Health: Attacking a Smart Prescription System; siamese Networks with Transfer Learning for Change Detection in Sentinel-2 Images; learned Sorted Table Search and Static Indexes in Small Model Space; domino Saliency Metrics: Improving Existing Channel Saliency Metrics with Structural Information; Neural QBAFs: Explaining Neural Networks Under LRP-Based Argumentation Frameworks; Enhancing Telepresence Robots with AI: Combining Services to Personalize and React; exploration-Intensive Distractors: Two Environment Proposals and a Benchmarking; Clustering-Based Interpretation of Deep ReLU Network; supporting Trustworthy Artificial Intelligence via Bayesian Argumentation; EEG-Based BCIs for Elderly Rehabilitation Enhancement Exploiting Artificial Data; Static, Dynamic and Acceleration Features for CNN-Based Speech Emotion Recognition; arabCeleb: Speaker Recognition in Arabic; Human Detection in Drone Images Using YOLO for Search-and-Rescue Operations; vision-Based Holistic Scene Understanding for Context-Aware Human-Robot Interaction; A Relevance-Based CNN Trimming Method for Low-Resources Embedded Vision; A Sound (But Incomplete) Polynomial Translation from Discretised PDDL+ to Numeric Planning; Misogynous MEME Recognition: A Preliminary Study; punctuation Restoration in Spoken Italian Transcripts with Transformers.</t>
  </si>
  <si>
    <t>In the present work, we address the problem of utilizing machine learning (ML) methods to predict the thermal properties of polymers by establishing "structure-property" relationships. Having focused on a particular class of heterocyclic polymers, namely polyimides (PIs), we developed a graph convolutional neural network (GCNN), being one of the most promising tools for working with big data, to predict the PI glass transition temperature Tgas an example of the fundamental property of polymers. To train the GCNN, we propose an original methodology based on using a "transfer learning" approach with an enormous "synthetic" data set for pretraining and a small experimental data set for its fine-tuning. The "synthetic" data set contains more than 6 million combinatorically generated repeating units of PIs and theoretical values of their Tgvalues calculated using the well-established Askadskii's quantitative structure-property relationship (QSPR) computational scheme. Additionally, an experimental data set for 214 PIs was also collected from the literature for training, fine-tuning, and validation of the GCNN. Both "synthetic" and experimental data sets are included into a PolyAskInG database (Polymer Askadskii's Intelligent Gateway). By using the PolyAskInG database, we developed GCNN which allows estimation of Tgof PI with a mean absolute error (MAE) of about 20 K, which is 1.5 times lower than in the case of Askadskii QSPR analysis (33 K). To prove the efficiency and usability of the proposed GCNN architecture and training methodology for predicting polymer properties, we also employed "transfer learning" to develop alternative GCNN pretrained on proxy-characteristics taken from the popular quantum-chemical QM9 database for small compounds and fine-tuned on an experimental Tgvalues data set from PolyAskInG database. The obtained results indicate that pretraining of GCNN on the "synthetic" polymer data set provides MAE which is almost twice as low as that in the case of using the QM9 data set in the pretraining stage (∼41 K). Furthermore, we address the questions associated with the influence of the differences in the size of the experimental and "synthetic" data sets (so-called "reality gap" problem), as well as their chemical composition on the training quality. Our results state the overall priority of using polymer data sets for developing deep neural networks, and GCNN in particular, for efficient prediction of polymer properties. Moreover, our work opens up a challenge for the theoretically supported generation of large "synthetic" data sets of polymer properties for the training of the complex ML models. The proposed methodology is rather versatile and may be generalized for predicting other properties of different polymers and copolymers synthesized through the polycondensation reaction. © 2022 American Chemical Society. All rights reserved.</t>
  </si>
  <si>
    <t>Personalized recommender systems are pervasive in different domains, ranging from e-commerce services, financial transaction systems to social networks. The generated ratings and reviews by users toward products are not only favourable to make targeted improvements on the products for online businesses, but also beneficial for other users to get a more insightful review of the products. In reality, recommender systems can also be deliberately manipulated by malicious users due to their fundamental vulnerabilities and openness. However, improving the detection performance for defending malicious threats including profile injection attacks and co-visitation injection attacks is constrained by the challenging issues: (1) various types of malicious attacks in real-world data coexist; (2) it is difficult to balance the commonality and speciality of rating behaviors in terms of accurate detection; and (3) rating behaviors between attackers and anchor users caused by the consistency of attack intentions are extremely similar. In this article, we develop a unified detection approach named IMIA-HCRF, to progressively discriminate malicious injection behaviors for recommender systems. First, disturbed data are empirically eliminated by implementing both the construction of association graph and enhancement of dense behaviors, which can be adapted to different attacks. Then, the smooth boundary of dense rating (or co-visitation) behaviors is further segmented using higher order potentials, which is finally leveraged to determine the concerned injection behaviors. Extensive experiments on both synthetic data and real-world data demonstrate that the proposed IMIA-HCRF outperforms all baselines on various metrics. The detection performance of IMIA-HCRF can achieve an improvement of 7.8% for mixed profile injection attacks as well as 6% for mixed co-visitation injection attacks over the baselines in terms of FAR (false alarm rate) while keeping the highest DR (detection rate). Additional experiments on real-world data show that IMIA-HCRF brings an improvement with the advantage of 11.5% FAR in average compared with the baselines.  © 2005-2012 IEEE.</t>
  </si>
  <si>
    <t>We consider the problem of estimating the location of a single change point in a network generated by a dynamic stochastic block model mechanism. This model produces community structure in the network that exhibits change at a single time epoch. We propose two methods of estimating the change point, together with the model parameters, before and after its occurrence. The first employs a least-squares criterion function and takes into consideration the full structure of the stochastic block model and is evaluated at each point in time. Hence, as an intermediate step, it requires estimating the community structure based on a clustering algorithm at every time point. The second method comprises the following two steps: in the first one, a least-squares function is used and evaluated at each time point, but ignoring the community structure and only considering a random graph generating mechanism exhibiting a change point. Once the change point is identified, in the second step, all network data before and after it are used together with a clustering algorithm to obtain the corresponding community structures and subsequently estimate the generating stochastic block model parameters. The first method, since it requires knowledge of the community structure and hence clustering at every point in time, is significantly more computationally expensive than the second one. On the other hand, it requires a significantly less stringent identifiability condition for consistent estimation of the change point and the model parameters than the second method; however, it also requires a condition on the misclassification rate of misallocating network nodes to their respective communities that may fail to hold in many realistic settings. Despite the apparent stringency of the identifiability condition for the second method, we show that networks generated by a stochastic block mechanism exhibiting a change in their structure can easily satisfy this condition under a multitude of scenarios, including merging/splitting communities, nodes joining another community, etc. Further, for both methods under their respective identifiability and certain additional regularity conditions, we establish rates of convergence and derive the asymptotic distributions of the change point estimators. The results are illustrated on synthetic data. In summary, this work provides an in-depth investigation of the novel problem of change point analysis for networks generated by stochastic block models, identifies key conditions for the consistent estimation of the change point, and proposes a computationally fast algorithm that solves the problem in many settings that occur in applications. Finally, it discusses challenges posed by employing clustering algorithms in this problem, that require additional investigation for their full resolution. © 2020 M. Bhattacharjee, M. Banerjee and G. Michailidis.</t>
  </si>
  <si>
    <t>Graph databases (NoSQL oriented graph databases) provide the ability to manage highly connected data and complex database queries along with the native graph-storage and processing. A property graph in a NoSQL graph engine is a labeled directed graph composed of nodes connected through edges with a set of attributes or properties in the form of (key:value) pairs. It facilitates to represent the data and knowledge that are in form of graphs. Practical applications of graph database systems have been seen in social networks, recommendation systems, fraud detection, and data journalism, as in the case for panama papers. Often, we face the issue of missing data in such kind of systems. In particular, these semi-structured NoSQL databases lead to a situation where some attributes (properties) are filled-in while other ones are not available, either because they exist but are missing (for instance the age of a person that is unknown) or because they are not applicable for a particular case (for instance the year of military service for a girl in countries where it is mandatory only for boys). Therefore, some keys can be provided for some nodes and not for other ones. In such a scenario, when we want to extract knowledge from these new generation database systems, we face the problem of missing data that arises need for analyzing them. Some approaches have been proposed to replace missing values so as to be able to apply data mining techniques. However, we argue that it is not relevant to consider such approaches because they may introduce biases or errors. In our work, we focus on the extraction of gradual patterns from property graphs that provide end-users with tools for mining correlations in the data when there exist missing values. Our approach requires first to define gradual patterns in the context of NoSQL property graph and then to extend existing algorithms so as to treat the missing values, because anti-monotonicity of the support cannot be considered anymore in a simple manner. Thus, we introduce a novel approach for mining gradual patterns in the presence of missing values and we test it on real and synthetic data. © 2019 Elsevier B.V.</t>
  </si>
  <si>
    <t>Objective: Tens of accidents involving helicopters occur every year owing to collisions with trees, wires, poles, and man-made buildings at low altitude. Just in 2014-2016, there were 96 crashes caused by hitting power lines around the world. Thus, warnings and avoiding wires are important for the low-altitude flight safety of helicopters and unmanned aerial vehicles. According to relevant studies, utilization of optical images is an effective way to identify wires. Traditional methods use manual filters to extract features of power lines and then use Hough transform to detect the lines. Machine learning methods, such as VGG (visual geometry group) 16 and random forest (RF), can only obtain a classification result for a picture, which makes confirming accuracy difficult. The full connection layer of the traditional convolutional neural network (CNN) is effective at classification tasks. However, it cannot carry out pixel segmentation tasks because of the loss of location information. By contrast, the fully convolutional network has no full connection layer, which misses location information. One kind of fully convolutional network, U-Net, is proposed to solve problems such as cell segmentation and retina segmentation. U-Net works well under the conditions of a small amount of samples and a small slice. A three-channel image is input into the network. Through the encoder and decoder, it finally becomes a one-channel feature map via 1 × 1 kernel size convolution. To obtain the final value between 0 and 1, Sigmoid activation function is used before every convolution layer. In this study, a CNN recognition method based on U-net is proposed to detect power lines. Method: First, we obtain a power line data set containing 8 000 images with 4 000 pairs of visible and infrared images. The image size is 128 × 128 pixels, with each image having a pixel ground truth label. The network receptive field calculation formula is used to determine the depth of our network. Next, adjustments are made on this basis network to choose the best model. The basis network is named the U-Net-0 model. The U-Net-1 model removes the lower pooling layer in the U-Net-0 model and changes the step size of the convolution layer before the lower pooling layer to 2. It also removes the upper pooling layer and changes the convolution layer after the upper pooling layer to the inverse convolution layer with a step size of 2. Compared with U-Net-0, the U-Net-2 model eliminates the upper and lower pooling layers and the convolution layer in the middle, thereby reducing the network depth. In the U-Net-3 model, decoding is expected to be a dimensionality reduction process. Therefore, the number of convolution kernels of the decoding part is limited, and the number of parameters of feature graph output of each layer is not larger than that of the previous layer. Pictures with complex backgrounds are likewise used to generate a large number of paired synthetic data, including power line images with pixel labels. The generated synthetic data are then used for network training. For each image, the power line contains a small number of pixels. Thus, focal loss is used to balance the impact of a large number of negative samples. The four models use the same optimizer named "Adam", which can automatically adjust the learning rate on the basis of SGD (stochastic gradient descent). The training procedure of each model is accelerated using an NVIDIA GTX 1080 TI device, which takes approximately 18 hours in 6 000 iterations with a batch size of 64. Loss, F1 score, and intersection-over-union (IoU) are the three evaluative criteria for trained models. The best model usually has low loss and high F1 score and IoU. Each model is used on visible and infrared images. The two results are combined to make a judgment. The power line, regardless of which of the same pair includes it, is finally considered detected in the mixed result. Result: After these four models are tested on the data set, the number of correctly identified pixels and IoU on each image is counted. According to the statistical results, the IoU of most image recognition results exceeds 0.2, and the threshold of 30 pixels as the result classification is relatively good. If more than 30 pixels are identified on an image, this image might include a power line. By this standard, the proposed method achieves a recognition rate over 99%, while the false alarms are less than 2%. Moreover, VGG16, which is trained on 3 800 pairs of images and tested on 200 pairs of images, only obtains a recognition rate of 95% and a false alarm rate of 37%. RF is affected by feature extraction methods. Thus, the recognition rate and false alarm rate fluctuate greatly. For example, RF with local binary patterns has a recognition rate of 63.5% and a false alarm rate of 36.3% on infrared images. In addition, RF with discrete cosine transform obtains a recognition rate of 92.95% and a false alarm rate of 13.95% on infrared images. Although U-Net-3 has more learnable parameters than U-Net-2, its performance is substantially worse. Conclusion: Our models have higher recognition rates and lower false alarm rates than do other traditional methods on the same dataset. Results show that our models are more effective than other methods and can even clearly extract power lines from background. Our models are trained on synthetic data and tested on real data, which means better generalization performance. The comparison of the four models also shows that the number of parameters cannot completely determine the performance of the network and that the reasonable structure is important. However, our current models have a small receptive field and cannot be used for power line recognition in high-resolution images. In the future, the models will be further studied to increase their receptive field for adapting to larger images without greatly increasing the number of parameters. © 2020, Editorial and Publishing Board of Journal of Image and Graphics. All right reserved.</t>
  </si>
  <si>
    <t>COVID-19 is a disease that can be spread easily with minimal physical contact. Currently, the World Health Organization (WHO) has endorsed the reverse transcription-polymerase chain reaction swab test as a diagnostic tool to confirm COVID-19 cases. This test requires at least a day for the results to come out depending on the available facilities. Many countries have adopted a targeted approach in screening potential patients due to the cost. However, there is a need for a fast and accurate screening test to complement this targeted approach, so that the potential virus carriers can be quarantined as early as possible. The X-ray is a good screening modality; it is quick at capturing, cheap, and widely available, even in third world countries. Therefore, a deep learning approach has been proposed to automate the screening process by introducing LightCovidNet, a lightweight deep learning model that is suitable for the mobile platform. It is important to have a lightweight model so that it can be used all over the world even on a standard mobile phone. The model has been trained with additional synthetic data that were generated from the conditional deep convolutional generative adversarial network. LightCovidNet consists of three components, which are entry, middle, and exit flows. The middle flow comprises five units of feed-forward convolutional neural networks that are built using separable convolution operators. The exit flow is designed to improve the multi-scale capability of the network through a simplified spatial pyramid pooling module. It is a symmetrical architecture with three parallel pooling branches that enable the network to learn multi-scale features, which is suitable for cases wherein the X-ray images were captured from all over the world independently. Besides, the usage of separable convolution has managed to reduce the memory usage without affecting the classification accuracy. The proposed method managed to get the best mean accuracy of 0.9697 with a low memory requirement of just 841,771 parameters. Moreover, the symmetrical spatial pyramid pooling module is the most crucial component; the absence of this module will reduce the screening accuracy to just 0.9237. Hence, the developed model is suitable to be implemented for mass COVID-19 screening. © 2020 by the authors.</t>
  </si>
  <si>
    <t>Scopus_7</t>
  </si>
  <si>
    <t>Scopus_8</t>
  </si>
  <si>
    <t>Scopus_22</t>
  </si>
  <si>
    <t>Scopus_25</t>
  </si>
  <si>
    <t>Scopus_28</t>
  </si>
  <si>
    <t>Scopus_38</t>
  </si>
  <si>
    <t>Scopus_39</t>
  </si>
  <si>
    <t>Scopus_40</t>
  </si>
  <si>
    <t>Scopus_41</t>
  </si>
  <si>
    <t>Scopus_43</t>
  </si>
  <si>
    <t>Scopus_47</t>
  </si>
  <si>
    <t>Scopus_59</t>
  </si>
  <si>
    <t>Scopus_63</t>
  </si>
  <si>
    <t>Scopus_66</t>
  </si>
  <si>
    <t>Scopus_67</t>
  </si>
  <si>
    <t>Scopus_69</t>
  </si>
  <si>
    <t>Scopus_74</t>
  </si>
  <si>
    <t>Scopus_85</t>
  </si>
  <si>
    <t>Scopus_87</t>
  </si>
  <si>
    <t>Scopus_88</t>
  </si>
  <si>
    <t>Scopus_95</t>
  </si>
  <si>
    <t>Scopus_100</t>
  </si>
  <si>
    <t>Scopus_101</t>
  </si>
  <si>
    <t>Scopus_103</t>
  </si>
  <si>
    <t>Scopus_105</t>
  </si>
  <si>
    <t>Scopus_106</t>
  </si>
  <si>
    <t>Scopus_107</t>
  </si>
  <si>
    <t>Scopus_109</t>
  </si>
  <si>
    <t>Scopus_112</t>
  </si>
  <si>
    <t>Scopus_128</t>
  </si>
  <si>
    <t>Scopus_141</t>
  </si>
  <si>
    <t>Scopus_148</t>
  </si>
  <si>
    <t>Scopus_154</t>
  </si>
  <si>
    <t>Scopus_158</t>
  </si>
  <si>
    <t>Scopus_160</t>
  </si>
  <si>
    <t>Scopus_161</t>
  </si>
  <si>
    <t>Scopus_167</t>
  </si>
  <si>
    <t>Scopus_171</t>
  </si>
  <si>
    <t>Scopus_185</t>
  </si>
  <si>
    <t>Scopus_198</t>
  </si>
  <si>
    <t>Scopus_206</t>
  </si>
  <si>
    <t>Scopus_208</t>
  </si>
  <si>
    <t>Scopus_222</t>
  </si>
  <si>
    <t>Scopus_225</t>
  </si>
  <si>
    <t>Scopus_236</t>
  </si>
  <si>
    <t>Scopus_248</t>
  </si>
  <si>
    <t>Scopus_251</t>
  </si>
  <si>
    <t>Scopus_259</t>
  </si>
  <si>
    <t>Scopus_273</t>
  </si>
  <si>
    <t>Scopus_274</t>
  </si>
  <si>
    <t>Scopus_281</t>
  </si>
  <si>
    <t>Scopus_286</t>
  </si>
  <si>
    <t>Scopus_293</t>
  </si>
  <si>
    <t>WoS_54</t>
  </si>
  <si>
    <t>WoS_69</t>
  </si>
  <si>
    <t>WoS_86</t>
  </si>
  <si>
    <t>WoS_90</t>
  </si>
  <si>
    <t>WoS_94</t>
  </si>
  <si>
    <t>WoS_105</t>
  </si>
  <si>
    <t>WoS_109</t>
  </si>
  <si>
    <t>Filter Criteria</t>
  </si>
  <si>
    <t>- synthetic data is generated</t>
  </si>
  <si>
    <t>- generated data has a graph structure</t>
  </si>
  <si>
    <t>Abstract Filter</t>
  </si>
  <si>
    <t>Full-Text Filter</t>
  </si>
  <si>
    <t>Full-Text explanation</t>
  </si>
  <si>
    <t>Does not generate graph data.</t>
  </si>
  <si>
    <t>Analysis of facebook interaction as basis for synthetic expanded social graph generatio</t>
  </si>
  <si>
    <t>L. Humski, D. Pintar, and M. Vranic</t>
  </si>
  <si>
    <t>https://ieeexplore.ieee.org/stamp/stamp.jsp?tp=&amp;arnumber=8573573</t>
  </si>
  <si>
    <t>Social networks have long been the subject of scientific researches, frequently hindered by the unavailability of representative datasets. The advent of online social networks (OSNs), which store data about interactions between billions of people, has greatly alleviated this problem. Since user interaction on the OSNs can correspond to their real-life relationships, OSN datasets quickly became a highly sought-after resource for social network research. However, enabling open access to such data entails serious security and privacy risks, especially after the introduction of the European General Data Protection Regulation. Some researchers mitigate this problem through anonymization, while others argue for the creation of synthetic datasets. We consider synthetic datasets preferable since they circumvent the security and privacy issues. Existing synthetic dataset generators produce a social graph containing only information whether a pair of nodes are connected. However, interpersonal relationships are much more complex. Because of that, our research considers the possibility of generating a synthetic expanded social graph which, in addition to the information about the existence of a connection between a pair of users, also provides information about the types and intensities of users’ interactions. As Facebook is the leading OSN today, we performed an extensive analysis of Facebook users’ interaction records with the aim of getting an insight into real-life interaction patterns. In this paper, we present results of this analysis at ego-user level and offer the conceptual solution for synthetic expanded social graph generation, which uses conducted analysis results as its basis.</t>
  </si>
  <si>
    <t>Not completed paper.</t>
  </si>
  <si>
    <t>Topology of Evolving Networks: Local Events and Universality</t>
  </si>
  <si>
    <t>Albert, Reka and Barabasi, Albert-Laszlo</t>
  </si>
  <si>
    <t>https://link.aps.org/doi/10.1103/PhysRevLett.85.523</t>
  </si>
  <si>
    <t>Networks grow and evolve by local events, such as the addition of new nodes and links, or rewiring of links from one node to another. We show that depending on the frequency of these processes two topologically different networks can emerge, the connectivity distribution following either a generalized power law or an exponential. We propose a continuum theory that predicts these two regimes as well as the scaling function and the exponents, in good agreement with numerical results. Finally, we use the obtained predictions to fit the connectivity distribution of the network describing the professional links between movie actors.</t>
  </si>
  <si>
    <t>GraphRNN: Generating Realistic Graphs with Deep Auto-regressive Models</t>
  </si>
  <si>
    <t>Jiaxuan You, Rex Ying, Xiang Ren, William L. Hamilton, Jure Leskovec</t>
  </si>
  <si>
    <t xml:space="preserve">Modeling and generating graphs is fundamental for studying networks in biology, engineering, and social sciences. However, modeling complex distributions over graphs and then efficiently sampling from these distributions is challenging due to the non-unique, high-dimensional nature of graphs and the complex, non-local dependencies that exist between edges in a given graph. Here we propose GraphRNN, a deep autoregressive model that addresses the above challenges and approximates any distribution of graphs with minimal assumptions about their structure. GraphRNN learns to generate graphs by training on a representative set of graphs and decomposes the graph generation process into a sequence of node and edge formations, conditioned on the graph structure generated so far.
In order to quantitatively evaluate the performance of GraphRNN, we introduce a benchmark suite of datasets, baselines and novel evaluation metrics based on Maximum Mean Discrepancy, which measure distances between sets of graphs. Our experiments show that GraphRNN significantly outperforms all baselines, learning to generate diverse graphs that match the structural characteristics of a target set, while also scaling to graphs 50 times larger than previous deep models. </t>
  </si>
  <si>
    <t>https://arxiv.org/abs/1802.08773</t>
  </si>
  <si>
    <t>T.N. Kipf, M. Welling</t>
  </si>
  <si>
    <t>Variational graph auto-encoders</t>
  </si>
  <si>
    <t>M. Simonovsky, N. Komodakis</t>
  </si>
  <si>
    <t>GraphVAE: towards generation of small graphs using variational autoencoders</t>
  </si>
  <si>
    <t xml:space="preserve">H.W. Wang, J. Wang, J.L. Wang, M. Zhao, W.N. Zhang, F.Z. Zhang, X. Xie, M.Y. Guo, </t>
  </si>
  <si>
    <t>Learning graph representation with generative adversarial nets</t>
  </si>
  <si>
    <t>Does not generate synthetic data</t>
  </si>
  <si>
    <t>NA</t>
  </si>
  <si>
    <t>We introduce the variational graph auto-encoder (VGAE), a framework for unsupervised learning on graph-structured data based on the variational auto-encoder (VAE). This model makes use of latent variables and is capable of learning interpretable latent representations for undirected graphs. We demonstrate this model using a graph convolutional network (GCN) encoder and a simple inner product decoder. Our model achieves competitive results on a link prediction task in citation networks. In contrast to most existing models for unsupervised learning on graph-structured data and link prediction, our model can naturally incorporate node features, which significantly improves predictive performance on a number of benchmark datasets.</t>
  </si>
  <si>
    <t>https://www.semanticscholar.org/paper/Variational-Graph-Auto-Encoders-Kipf-Welling/54906484f42e871f7c47bbfe784a358b1448231f</t>
  </si>
  <si>
    <t>Deep learning on graphs has become a popular research topic with many applications. However, past work has concentrated on learning graph embedding tasks, which is in contrast with advances in generative models for images and text. Is it possible to transfer this progress to the domain of graphs? We propose to sidestep hurdles associated with linearization of such discrete structures by having a decoder output a probabilistic fully-connected graph of a predefined maximum size directly at once. Our method is formulated as a variational autoencoder. We evaluate on the challenging task of molecule generation.</t>
  </si>
  <si>
    <t>https://www.semanticscholar.org/paper/GraphVAE:-Towards-Generation-of-Small-Graphs-Using-Simonovsky-Komodakis/8913c23081e46a41cc7ced3c2ff379d9cd7afcde</t>
  </si>
  <si>
    <t>Graph representation learning aims to embed each vertex in a graph into a low-dimensional vector space. Existing graph representation learning methods can be classified into two categories: generative models that learn the underlying connectivity distribution in a graph, and discriminative models that predict the probability of edge between a pair of vertices. In this paper, we propose GraphGAN, an innovative graph representation learning framework unifying the above two classes of methods, in which the generative and the discriminative model play a game-theoretical minimax game. Specifically, for a given vertex, the generative model tries to fit its underlying true connectivity distribution over all other vertices and produces “fake” samples to fool the discriminative model, while the discriminative model tries to detect whether the sampled vertex is from ground truth or generated by the generative model. With the competition between these two models, both of them can alternately and iteratively boost their performance. Moreover, we propose a novel graph softmax as the implementation of the generative model to overcome the limitations of traditional softmax function, which can be proven satisfying desirable properties of normalization, graph structure awareness, and computational efficiency. Through extensive experiments on real-world datasets, we demonstrate that GraphGAN achieves substantial gains in a variety of applications, including graph reconstruction, link prediction, node classification, recommendation, and visualization, over state-of-the-art baselines.</t>
  </si>
  <si>
    <t>https://www.semanticscholar.org/paper/Learning-Graph-Representation-With-Generative-Nets-Wang-Wang/061f98268464ac4213c185f7ff8592346964f718</t>
  </si>
  <si>
    <t>Forward_1</t>
  </si>
  <si>
    <t>Forward_2</t>
  </si>
  <si>
    <t>Forward_3</t>
  </si>
  <si>
    <t>Forward_4</t>
  </si>
  <si>
    <t>Forward_5</t>
  </si>
  <si>
    <t>Forward_6</t>
  </si>
  <si>
    <t>No synthetic data generation</t>
  </si>
  <si>
    <t>Scalable Deep Generative Modeling for Sparse Graphs</t>
  </si>
  <si>
    <t>Hanjun Dai, Azade Nazi, Yujia Li, Bo Dai, Dale Schuurmans</t>
  </si>
  <si>
    <t>Learning graph generative models is a challenging task for deep learning and has wide applicability to a range of domains like chemistry, biology and social science. However current deep neural methods suffer from limited scalability: for a graph with n nodes and m edges, existing deep neural methods require Ω(n2) complexity by building up the adjacency matrix. On the other hand, many real world graphs are actually sparse in the sense that m _x001C_ n2. Based on this, we develop a novel autoregressive model, named BiGG, that utilizes this sparsity to avoid generating the full adjacency matrix, and importantly reduces the graph generation time complexity to O((n + m) log n). Furthermore, during training this autoregressive model can be parallelized with O(log n) synchronization stages, which makes it much more efficient than other autoregressive models that require Ω(n). Experiments on several benchmarks show that the proposed approach not only scales to orders of magnitude larger graphs than previously possible with deep autoregressive graph generative models, but also yields better graph generation quality.</t>
  </si>
  <si>
    <t>http://arxiv.org/abs/2006.15502</t>
  </si>
  <si>
    <t>Efficient graph generation with graph recurrent attention networks</t>
  </si>
  <si>
    <t>Liao, Renjie and Li, Yujia and Song, Yang and Wang, Shenlong and Hamilton, William L. and Duvenaud, David and Urtasun, Raquel and Zemel, Richard</t>
  </si>
  <si>
    <t>We propose a new family of efficient and expressive deep generative models of graphs, called Graph Recurrent Attention Networks (GRANs). Our model generates graphs one block of nodes and associated edges at a time. The block size and sampling stride allow us to trade off sample quality for efficiency. Compared to previous RNN-based graph generative models, our framework better captures the auto-regressive conditioning between the already-generated and to-be-generated parts of the graph using Graph Neural Networks (GNNs) with attention. This not only reduces the dependency on node ordering but also bypasses the long-term bottleneck caused by the sequential nature of RNNs. Moreover, we parameterize the output distribution per block using a mixture of Bernoulli, which captures the correlations among generated edges within the block. Finally, we propose to handle node orderings in generation by marginalizing over a family of canonical orderings. On standard benchmarks, we achieve state-of-the-art time efficiency and sample quality compared to previous models. Additionally, we show our model is capable of generating large graphs of up to 5K nodes with good quality. Our code is released at: https://github.com/lrjconan/GRAN.</t>
  </si>
  <si>
    <t>https://dl.acm.org/doi/pdf/10.5555/3454287.3454670</t>
  </si>
  <si>
    <t>R-MAT: A Recursive Model for Graph Mining</t>
  </si>
  <si>
    <t>https://journals.aps.org/prl/abstract/10.1103/PhysRevLett.85.5234</t>
  </si>
  <si>
    <t>https://epubs.siam.org/doi/abs/10.1137/1.9781611972740.43</t>
  </si>
  <si>
    <t>Deepayan Chakrabarti, Yiping Zhan, Christos Faloutsos</t>
  </si>
  <si>
    <t>Réka Albert, Albert-László Barabási</t>
  </si>
  <si>
    <t>Forward_9</t>
  </si>
  <si>
    <t>Forward_10</t>
  </si>
  <si>
    <t>Forward_7</t>
  </si>
  <si>
    <t>Forward_8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</si>
</sst>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2"/>
      <color theme="1"/>
      <name val="Calibri"/>
      <family val="2"/>
      <scheme val="minor"/>
    </font>
    <font>
      <b/>
      <sz val="16"/>
      <color theme="1"/>
      <name val="Calibri"/>
      <family val="2"/>
      <scheme val="minor"/>
    </font>
    <font>
      <sz val="11"/>
      <color rgb="FF9C5700"/>
      <name val="Calibri"/>
      <family val="2"/>
      <scheme val="minor"/>
    </font>
    <font>
      <sz val="10"/>
      <color theme="1"/>
      <name val="Arial Unicode MS"/>
      <family val="2"/>
    </font>
    <font>
      <sz val="10"/>
      <color theme="1"/>
      <name val="Arial"/>
      <family val="2"/>
    </font>
    <font>
      <sz val="10"/>
      <name val="Arial"/>
      <family val="2"/>
    </font>
    <font>
      <sz val="11"/>
      <name val="Calibri"/>
      <family val="2"/>
      <scheme val="minor"/>
    </font>
    <font>
      <u/>
      <sz val="11"/>
      <color theme="10"/>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EB9C"/>
      </patternFill>
    </fill>
    <fill>
      <patternFill patternType="solid">
        <fgColor theme="9"/>
        <bgColor indexed="64"/>
      </patternFill>
    </fill>
    <fill>
      <patternFill patternType="solid">
        <fgColor rgb="FFC00000"/>
        <bgColor indexed="64"/>
      </patternFill>
    </fill>
    <fill>
      <patternFill patternType="solid">
        <fgColor rgb="FF92D050"/>
        <bgColor indexed="64"/>
      </patternFill>
    </fill>
    <fill>
      <patternFill patternType="solid">
        <fgColor theme="4"/>
        <bgColor indexed="64"/>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theme="9" tint="0.39997558519241921"/>
      </top>
      <bottom/>
      <diagonal/>
    </border>
  </borders>
  <cellStyleXfs count="3">
    <xf numFmtId="0" fontId="0" fillId="0" borderId="0"/>
    <xf numFmtId="0" fontId="4" fillId="4" borderId="0" applyNumberFormat="0" applyBorder="0" applyAlignment="0" applyProtection="0"/>
    <xf numFmtId="0" fontId="9" fillId="0" borderId="0" applyNumberFormat="0" applyFill="0" applyBorder="0" applyAlignment="0" applyProtection="0"/>
  </cellStyleXfs>
  <cellXfs count="39">
    <xf numFmtId="0" fontId="0" fillId="0" borderId="0" xfId="0"/>
    <xf numFmtId="0" fontId="1" fillId="2" borderId="1" xfId="0" applyFont="1" applyFill="1" applyBorder="1"/>
    <xf numFmtId="0" fontId="1" fillId="2" borderId="2" xfId="0" applyFont="1" applyFill="1" applyBorder="1"/>
    <xf numFmtId="0" fontId="0" fillId="3" borderId="1" xfId="0" applyFill="1" applyBorder="1" applyAlignment="1">
      <alignment wrapText="1"/>
    </xf>
    <xf numFmtId="0" fontId="3" fillId="0" borderId="3" xfId="0" applyFont="1" applyBorder="1" applyAlignment="1">
      <alignment horizontal="left" vertical="center"/>
    </xf>
    <xf numFmtId="0" fontId="3" fillId="0" borderId="4" xfId="0" applyFont="1" applyBorder="1" applyAlignment="1">
      <alignment horizontal="center" vertical="center"/>
    </xf>
    <xf numFmtId="0" fontId="2" fillId="0" borderId="2" xfId="0" applyFont="1" applyFill="1" applyBorder="1" applyAlignment="1">
      <alignment horizontal="center" vertical="center"/>
    </xf>
    <xf numFmtId="0" fontId="0" fillId="0" borderId="0" xfId="0" applyAlignment="1">
      <alignment horizontal="center"/>
    </xf>
    <xf numFmtId="0" fontId="0" fillId="0" borderId="0" xfId="0" applyAlignment="1">
      <alignment horizontal="left"/>
    </xf>
    <xf numFmtId="0" fontId="1" fillId="0" borderId="5" xfId="0" applyFont="1" applyFill="1" applyBorder="1"/>
    <xf numFmtId="0" fontId="1" fillId="0" borderId="6" xfId="0" applyFont="1" applyFill="1" applyBorder="1"/>
    <xf numFmtId="0" fontId="1" fillId="0" borderId="6" xfId="0" applyFont="1" applyFill="1" applyBorder="1" applyAlignment="1">
      <alignment horizontal="left"/>
    </xf>
    <xf numFmtId="0" fontId="1" fillId="0" borderId="7" xfId="0" applyFont="1" applyFill="1" applyBorder="1"/>
    <xf numFmtId="0" fontId="0" fillId="0" borderId="0" xfId="0" applyFill="1"/>
    <xf numFmtId="0" fontId="0" fillId="0" borderId="0" xfId="0" quotePrefix="1" applyFill="1"/>
    <xf numFmtId="0" fontId="1" fillId="2" borderId="0" xfId="0" applyFont="1" applyFill="1" applyBorder="1"/>
    <xf numFmtId="0" fontId="0" fillId="0" borderId="0" xfId="0" applyAlignment="1">
      <alignment horizontal="center" vertical="center"/>
    </xf>
    <xf numFmtId="0" fontId="0" fillId="0" borderId="0" xfId="0" applyNumberFormat="1"/>
    <xf numFmtId="0" fontId="0" fillId="0" borderId="0" xfId="0" applyNumberFormat="1" applyFill="1"/>
    <xf numFmtId="0" fontId="5" fillId="0" borderId="0" xfId="0" applyFont="1" applyAlignment="1">
      <alignment vertical="center"/>
    </xf>
    <xf numFmtId="0" fontId="0" fillId="0" borderId="0" xfId="0" applyNumberFormat="1" applyFill="1" applyBorder="1"/>
    <xf numFmtId="0" fontId="5" fillId="0" borderId="0" xfId="0" applyFont="1" applyBorder="1" applyAlignment="1">
      <alignment vertical="center"/>
    </xf>
    <xf numFmtId="0" fontId="0" fillId="0" borderId="0" xfId="0" applyFill="1" applyBorder="1"/>
    <xf numFmtId="0" fontId="6" fillId="0" borderId="8" xfId="0" applyFont="1" applyFill="1" applyBorder="1"/>
    <xf numFmtId="0" fontId="7" fillId="0" borderId="0" xfId="0" applyFont="1"/>
    <xf numFmtId="0" fontId="3" fillId="0" borderId="0" xfId="0" applyFont="1"/>
    <xf numFmtId="0" fontId="0" fillId="0" borderId="0" xfId="0" quotePrefix="1"/>
    <xf numFmtId="0" fontId="8" fillId="0" borderId="0" xfId="0" applyFont="1" applyFill="1"/>
    <xf numFmtId="0" fontId="8" fillId="0" borderId="0" xfId="1" applyFont="1" applyFill="1"/>
    <xf numFmtId="0" fontId="0" fillId="5" borderId="0" xfId="0" applyFill="1"/>
    <xf numFmtId="0" fontId="0" fillId="6" borderId="0" xfId="0" applyFill="1"/>
    <xf numFmtId="0" fontId="1" fillId="2" borderId="5" xfId="0" applyFont="1" applyFill="1" applyBorder="1"/>
    <xf numFmtId="0" fontId="1" fillId="2" borderId="6" xfId="0" applyFont="1" applyFill="1" applyBorder="1"/>
    <xf numFmtId="0" fontId="1" fillId="2" borderId="6" xfId="0" applyFont="1" applyFill="1" applyBorder="1" applyAlignment="1">
      <alignment horizontal="left"/>
    </xf>
    <xf numFmtId="0" fontId="1" fillId="2" borderId="7" xfId="0" applyFont="1" applyFill="1" applyBorder="1"/>
    <xf numFmtId="0" fontId="9" fillId="0" borderId="0" xfId="2"/>
    <xf numFmtId="0" fontId="0" fillId="0" borderId="0" xfId="0" applyAlignment="1"/>
    <xf numFmtId="0" fontId="0" fillId="7" borderId="0" xfId="0" applyFill="1"/>
    <xf numFmtId="0" fontId="0" fillId="8" borderId="0" xfId="0" applyFill="1"/>
  </cellXfs>
  <cellStyles count="3">
    <cellStyle name="Hyperlink" xfId="2" builtinId="8"/>
    <cellStyle name="Neutral" xfId="1" builtinId="28"/>
    <cellStyle name="Normal" xfId="0" builtinId="0"/>
  </cellStyles>
  <dxfs count="41">
    <dxf>
      <numFmt numFmtId="0" formatCode="Genera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theme="9" tint="0.39997558519241921"/>
        </left>
        <right/>
        <top style="thin">
          <color theme="9" tint="0.39997558519241921"/>
        </top>
        <bottom style="thin">
          <color theme="9" tint="0.39997558519241921"/>
        </bottom>
      </border>
    </dxf>
    <dxf>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numFmt numFmtId="0" formatCode="General"/>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5EE088-6D51-4A63-A5EA-F94C9F2FCC67}" name="Table6" displayName="Table6" ref="A1:M281" totalsRowShown="0">
  <autoFilter ref="A1:M281" xr:uid="{785EE088-6D51-4A63-A5EA-F94C9F2FCC67}"/>
  <tableColumns count="13">
    <tableColumn id="1" xr3:uid="{23E9646C-A4BA-4F27-AB20-03A9232C8F96}" name="ID"/>
    <tableColumn id="9" xr3:uid="{22543BE7-6667-4214-8A45-527B9B86E1BF}" name="Valid"/>
    <tableColumn id="2" xr3:uid="{BC2BAF0D-4D81-4AD6-AB6E-922EA52EFB1B}" name="Article Title"/>
    <tableColumn id="10" xr3:uid="{055C5856-3327-41D3-A969-73E9ACFE5409}" name="Title Filter"/>
    <tableColumn id="3" xr3:uid="{DFE7A3EE-BC6A-4213-8A91-C4831337E851}" name="Authors"/>
    <tableColumn id="4" xr3:uid="{BAACA813-12D8-4BB6-8FCE-54277D6C81DA}" name="Author Keywords"/>
    <tableColumn id="5" xr3:uid="{D65114C0-EA64-46E3-8509-579F0DBBBB00}" name="Abstract"/>
    <tableColumn id="11" xr3:uid="{211B6CFD-B5DC-4F7D-9EF9-3082A2E5FDC9}" name="Abstract Filter"/>
    <tableColumn id="12" xr3:uid="{0FDB862B-C05B-402D-893F-397913A347DF}" name="Full-Text Filter"/>
    <tableColumn id="13" xr3:uid="{CE06FB86-628A-4F92-9B3C-9B6B16D73300}" name="Full-Text explanation"/>
    <tableColumn id="6" xr3:uid="{8DEE34F6-0D2D-45FE-989E-5D4367081E28}" name="Publication Year"/>
    <tableColumn id="7" xr3:uid="{275E3189-91AE-4A01-84CC-5078479B9824}" name="Citation Count"/>
    <tableColumn id="8" xr3:uid="{6EF8BF0D-DF62-4471-B97A-843331378FF6}" name="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EDC2F2-62E4-4ABD-AFB3-741CBC2E9BD5}" name="Table1" displayName="Table1" ref="A1:H3" totalsRowShown="0" headerRowDxfId="38" dataDxfId="36" headerRowBorderDxfId="37" tableBorderDxfId="35">
  <autoFilter ref="A1:H3" xr:uid="{7DEDC2F2-62E4-4ABD-AFB3-741CBC2E9BD5}"/>
  <tableColumns count="8">
    <tableColumn id="1" xr3:uid="{B685F70D-87DE-45F4-9C08-A2F0078841BF}" name="ID" dataDxfId="34">
      <calculatedColumnFormula>"ACM_" &amp; ROW()-1</calculatedColumnFormula>
    </tableColumn>
    <tableColumn id="2" xr3:uid="{86D990F1-B44A-469C-AEC7-1A2B2E12242D}" name="Article Title"/>
    <tableColumn id="3" xr3:uid="{FAD2E85F-64A1-4CAB-AAC8-39165815C677}" name="Authors"/>
    <tableColumn id="4" xr3:uid="{DC7E056F-FAC5-4C40-95A8-F84B1C0D1B39}" name="Author Keywords" dataDxfId="33"/>
    <tableColumn id="5" xr3:uid="{26A69F74-9164-4083-90AC-4C6416A0B888}" name="Abstract"/>
    <tableColumn id="6" xr3:uid="{00BEC880-98B2-415C-B64F-141707CB65B2}" name="Publication Year" dataDxfId="32"/>
    <tableColumn id="7" xr3:uid="{2C72316A-7739-4AAF-8718-58CCB67BDCD6}" name="Citation Count" dataDxfId="31"/>
    <tableColumn id="8" xr3:uid="{4B0FE100-4543-43EA-8D58-CE8F7077B96E}" name="Lin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93537E-ABC5-4CC5-815F-B92C0B39DA46}" name="Table3" displayName="Table3" ref="A1:H58" totalsRowShown="0" headerRowDxfId="30" dataDxfId="28" headerRowBorderDxfId="29" tableBorderDxfId="27">
  <autoFilter ref="A1:H58" xr:uid="{F893537E-ABC5-4CC5-815F-B92C0B39DA46}"/>
  <tableColumns count="8">
    <tableColumn id="1" xr3:uid="{3B0A9C71-7150-41D9-9D4D-D920B210F37F}" name="ID" dataDxfId="26">
      <calculatedColumnFormula>"IEEE_" &amp; ROW()-1</calculatedColumnFormula>
    </tableColumn>
    <tableColumn id="2" xr3:uid="{B204A226-DA95-479E-8894-2B40F063B2D4}" name="Article Title" dataDxfId="25"/>
    <tableColumn id="3" xr3:uid="{AA278FF7-06C8-4CC7-85DC-9D4A6BFE4195}" name="Authors" dataDxfId="24"/>
    <tableColumn id="4" xr3:uid="{3487A847-D74B-462F-BE54-7D05D766C0A2}" name="Author Keywords" dataDxfId="23"/>
    <tableColumn id="5" xr3:uid="{7BC1545E-8909-47C9-82CB-CAC6F74CBCAF}" name="Abstract" dataDxfId="22"/>
    <tableColumn id="6" xr3:uid="{EBCB4711-3AED-4750-AB51-BBF609EBC728}" name="Publication Year" dataDxfId="21"/>
    <tableColumn id="7" xr3:uid="{C913061B-37CA-4CB1-B40A-6EFF98CE4F29}" name="Citation Count" dataDxfId="20"/>
    <tableColumn id="8" xr3:uid="{66129A74-84F6-4217-94A8-4982B24F2E39}" name="Link"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43EBEA-0A96-4B4B-8EA7-1D63BA35D4AC}" name="Table4" displayName="Table4" ref="A1:H295" totalsRowShown="0" headerRowDxfId="18" dataDxfId="16" headerRowBorderDxfId="17" tableBorderDxfId="15">
  <autoFilter ref="A1:H295" xr:uid="{2F43EBEA-0A96-4B4B-8EA7-1D63BA35D4AC}"/>
  <tableColumns count="8">
    <tableColumn id="1" xr3:uid="{BF51D82B-82BE-4760-8064-5B9F44E5F8F1}" name="ID" dataDxfId="14">
      <calculatedColumnFormula>"Scopus_" &amp; ROW()-1</calculatedColumnFormula>
    </tableColumn>
    <tableColumn id="2" xr3:uid="{8C19B9B2-D442-446C-8EB7-43580031E5AE}" name="Article Title" dataDxfId="13"/>
    <tableColumn id="3" xr3:uid="{8B359F16-1F91-47E8-922D-F102D30ED0D9}" name="Authors" dataDxfId="12"/>
    <tableColumn id="4" xr3:uid="{6D7D53B4-1800-4B51-B832-0D1DC9CBB63D}" name="Author Keywords" dataDxfId="11"/>
    <tableColumn id="5" xr3:uid="{1B99F21B-95F7-4442-89C4-279B7851B0A5}" name="Abstract" dataDxfId="10"/>
    <tableColumn id="6" xr3:uid="{A32BD59F-C53C-4A30-AF31-F191F8D2AAD0}" name="Publication Year" dataDxfId="9"/>
    <tableColumn id="7" xr3:uid="{706F987D-1592-48D7-A343-8AEE23A1F785}" name="Citation Count" dataDxfId="8"/>
    <tableColumn id="8" xr3:uid="{776BA48E-8EF2-4881-AD57-CB6DEC553DFF}" name="Link"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FB1DBF-B30D-49CF-B1FB-865B448F4CCE}" name="Table2" displayName="Table2" ref="A1:H110" totalsRowShown="0">
  <autoFilter ref="A1:H110" xr:uid="{2BFB1DBF-B30D-49CF-B1FB-865B448F4CCE}"/>
  <tableColumns count="8">
    <tableColumn id="8" xr3:uid="{7A01EE2E-34FB-4CD7-9246-63924D0F23D6}" name="ID" dataDxfId="6">
      <calculatedColumnFormula>"WoS_" &amp; ROW()-1</calculatedColumnFormula>
    </tableColumn>
    <tableColumn id="2" xr3:uid="{7A926418-BAE6-4349-8C9D-0E1E2265271D}" name="Article Title"/>
    <tableColumn id="1" xr3:uid="{2AC6765E-2C94-4C65-AFB2-38982C216F4B}" name="Authors"/>
    <tableColumn id="3" xr3:uid="{8FD555E2-76FB-4812-BD25-E29848CF09F4}" name="Author Keywords"/>
    <tableColumn id="4" xr3:uid="{776D3069-6CD0-4EE1-89A1-F1B0FAB4B136}" name="Abstract"/>
    <tableColumn id="5" xr3:uid="{3EE2B1EA-9D0B-4366-8EF7-625D2B6B104E}" name="Publication Year" dataDxfId="5"/>
    <tableColumn id="7" xr3:uid="{B3005F76-3B98-4732-B117-E4E126B4F0DE}" name="Citation Count" dataDxfId="4"/>
    <tableColumn id="6" xr3:uid="{C74CF8FB-639F-44EE-A2AC-63ED65727894}" name="Lin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7CBA2A-C45D-49F2-BE00-730DB9DDC5B6}" name="Table5" displayName="Table5" ref="A1:H11" totalsRowShown="0" headerRowDxfId="3" headerRowBorderDxfId="2" tableBorderDxfId="1">
  <autoFilter ref="A1:H11" xr:uid="{F47CBA2A-C45D-49F2-BE00-730DB9DDC5B6}"/>
  <tableColumns count="8">
    <tableColumn id="1" xr3:uid="{F44C4D85-9ADD-42C5-96F4-459DB1ADEBF4}" name="ID" dataDxfId="0">
      <calculatedColumnFormula>"Forward_" &amp; ROW()-1</calculatedColumnFormula>
    </tableColumn>
    <tableColumn id="2" xr3:uid="{0E29701B-13A2-4191-A912-BC42FB142E47}" name="Article Title"/>
    <tableColumn id="3" xr3:uid="{900D1CF1-8E3A-4F56-ACC6-ADB7D77D9253}" name="Authors"/>
    <tableColumn id="4" xr3:uid="{622F35B3-05D8-4F08-965A-0B824A6503C2}" name="Author Keywords"/>
    <tableColumn id="5" xr3:uid="{B86CF929-5DFB-40C1-857D-4B3336AEB178}" name="Abstract"/>
    <tableColumn id="6" xr3:uid="{89F350B9-86B5-4E39-986F-5B7B93D893ED}" name="Publication Year"/>
    <tableColumn id="7" xr3:uid="{B3F90F16-04A2-4421-B035-A1AB4E7B2A30}" name="Citation Count"/>
    <tableColumn id="8" xr3:uid="{4699C56D-923B-4BDB-9E0E-F8AC87C8A0F4}" name="Link"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hyperlink" Target="https://journals.aps.org/prl/abstract/10.1103/PhysRevLett.85.5234" TargetMode="External"/><Relationship Id="rId3" Type="http://schemas.openxmlformats.org/officeDocument/2006/relationships/hyperlink" Target="https://arxiv.org/abs/1802.08773" TargetMode="External"/><Relationship Id="rId7" Type="http://schemas.openxmlformats.org/officeDocument/2006/relationships/hyperlink" Target="https://dl.acm.org/doi/pdf/10.5555/3454287.3454670" TargetMode="External"/><Relationship Id="rId2" Type="http://schemas.openxmlformats.org/officeDocument/2006/relationships/hyperlink" Target="https://link.aps.org/doi/10.1103/PhysRevLett.85.523" TargetMode="External"/><Relationship Id="rId1" Type="http://schemas.openxmlformats.org/officeDocument/2006/relationships/hyperlink" Target="https://ieeexplore.ieee.org/stamp/stamp.jsp?tp=&amp;arnumber=8573573" TargetMode="External"/><Relationship Id="rId6" Type="http://schemas.openxmlformats.org/officeDocument/2006/relationships/hyperlink" Target="http://arxiv.org/abs/2006.15502" TargetMode="External"/><Relationship Id="rId5" Type="http://schemas.openxmlformats.org/officeDocument/2006/relationships/hyperlink" Target="https://www.semanticscholar.org/paper/Learning-Graph-Representation-With-Generative-Nets-Wang-Wang/061f98268464ac4213c185f7ff8592346964f718" TargetMode="External"/><Relationship Id="rId10" Type="http://schemas.openxmlformats.org/officeDocument/2006/relationships/table" Target="../tables/table6.xml"/><Relationship Id="rId4" Type="http://schemas.openxmlformats.org/officeDocument/2006/relationships/hyperlink" Target="https://www.semanticscholar.org/paper/Variational-Graph-Auto-Encoders-Kipf-Welling/54906484f42e871f7c47bbfe784a358b1448231f" TargetMode="External"/><Relationship Id="rId9" Type="http://schemas.openxmlformats.org/officeDocument/2006/relationships/hyperlink" Target="https://epubs.siam.org/doi/abs/10.1137/1.9781611972740.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6"/>
  <sheetViews>
    <sheetView tabSelected="1" workbookViewId="0">
      <selection activeCell="A5" sqref="A5"/>
    </sheetView>
  </sheetViews>
  <sheetFormatPr defaultRowHeight="14.4" x14ac:dyDescent="0.3"/>
  <cols>
    <col min="1" max="1" width="59.33203125" customWidth="1"/>
    <col min="2" max="4" width="18" customWidth="1"/>
    <col min="5" max="5" width="21.6640625" customWidth="1"/>
    <col min="6" max="6" width="19.33203125" customWidth="1"/>
    <col min="7" max="7" width="21.33203125" customWidth="1"/>
    <col min="8" max="8" width="15.44140625" customWidth="1"/>
  </cols>
  <sheetData>
    <row r="1" spans="1:8" x14ac:dyDescent="0.3">
      <c r="A1" t="s">
        <v>6</v>
      </c>
    </row>
    <row r="2" spans="1:8" x14ac:dyDescent="0.3">
      <c r="A2" t="s">
        <v>7</v>
      </c>
    </row>
    <row r="4" spans="1:8" x14ac:dyDescent="0.3">
      <c r="A4" s="1" t="s">
        <v>0</v>
      </c>
      <c r="B4" s="2" t="s">
        <v>1</v>
      </c>
      <c r="C4" s="2" t="s">
        <v>2</v>
      </c>
      <c r="D4" s="2" t="s">
        <v>3</v>
      </c>
      <c r="E4" s="2" t="s">
        <v>4</v>
      </c>
      <c r="F4" s="15" t="s">
        <v>151</v>
      </c>
    </row>
    <row r="5" spans="1:8" ht="29.4" thickBot="1" x14ac:dyDescent="0.35">
      <c r="A5" s="3" t="s">
        <v>1873</v>
      </c>
      <c r="B5" s="6">
        <v>2</v>
      </c>
      <c r="C5" s="6">
        <v>57</v>
      </c>
      <c r="D5" s="6">
        <v>294</v>
      </c>
      <c r="E5" s="6">
        <v>109</v>
      </c>
      <c r="F5" s="16">
        <f>SUM(B5:E5)</f>
        <v>462</v>
      </c>
    </row>
    <row r="6" spans="1:8" ht="22.2" thickTop="1" thickBot="1" x14ac:dyDescent="0.35">
      <c r="A6" s="4" t="s">
        <v>5</v>
      </c>
      <c r="B6" s="5">
        <f>SUM(B5)</f>
        <v>2</v>
      </c>
      <c r="C6" s="5">
        <f>SUM(C5)</f>
        <v>57</v>
      </c>
      <c r="D6" s="5">
        <f>SUM(D5)</f>
        <v>294</v>
      </c>
      <c r="E6" s="5">
        <f>SUM(E5)</f>
        <v>109</v>
      </c>
      <c r="F6" s="5">
        <f>SUM(B6:E6)</f>
        <v>462</v>
      </c>
    </row>
    <row r="7" spans="1:8" ht="22.2" thickTop="1" thickBot="1" x14ac:dyDescent="0.35">
      <c r="A7" s="5"/>
      <c r="B7" s="5"/>
      <c r="C7" s="5"/>
      <c r="D7" s="5"/>
      <c r="E7" s="5" t="s">
        <v>152</v>
      </c>
      <c r="F7" s="5">
        <f>COUNTIFS(Table6[ID],"&lt;&gt;""",Table6[ID],"&lt;&gt;*Forward*")</f>
        <v>270</v>
      </c>
    </row>
    <row r="8" spans="1:8" ht="22.2" thickTop="1" thickBot="1" x14ac:dyDescent="0.35">
      <c r="E8" s="5" t="s">
        <v>1867</v>
      </c>
      <c r="F8" s="5">
        <f>COUNTIFS(Table6[Valid],TRUE,Table6[ID],"&lt;&gt;*Forward*")</f>
        <v>245</v>
      </c>
    </row>
    <row r="9" spans="1:8" ht="26.4" customHeight="1" thickTop="1" thickBot="1" x14ac:dyDescent="0.35">
      <c r="E9" s="5" t="s">
        <v>1868</v>
      </c>
      <c r="F9" s="5">
        <f>COUNTIFS(Table6[Valid],TRUE,Table6[Title Filter],TRUE,Table6[ID],"&lt;&gt;*Forward*")</f>
        <v>79</v>
      </c>
    </row>
    <row r="10" spans="1:8" ht="22.2" thickTop="1" thickBot="1" x14ac:dyDescent="0.35">
      <c r="E10" s="5" t="s">
        <v>1869</v>
      </c>
      <c r="F10" s="5">
        <f>COUNTIFS(Table6[Valid],TRUE,Table6[Title Filter],TRUE,Table6[Abstract Filter],TRUE,Table6[ID],"&lt;&gt;*Forward*")</f>
        <v>30</v>
      </c>
    </row>
    <row r="11" spans="1:8" ht="22.2" thickTop="1" thickBot="1" x14ac:dyDescent="0.35">
      <c r="E11" s="5" t="s">
        <v>1870</v>
      </c>
      <c r="F11" s="5">
        <f>COUNTIFS(Table6[Valid],TRUE,Table6[Title Filter],TRUE,Table6[Abstract Filter],TRUE,Table6[Full-Text Filter],TRUE,Table6[ID],"&lt;&gt;*Forward*")</f>
        <v>15</v>
      </c>
      <c r="G11" s="5" t="s">
        <v>1871</v>
      </c>
      <c r="H11" s="5">
        <f>COUNTIFS(Table6[Valid],TRUE,Table6[Title Filter],TRUE,Table6[Abstract Filter],TRUE,Table6[Full-Text Filter],TRUE,Table6[ID],"*Forward*")</f>
        <v>7</v>
      </c>
    </row>
    <row r="12" spans="1:8" ht="21.6" thickTop="1" x14ac:dyDescent="0.3">
      <c r="E12" s="5" t="s">
        <v>151</v>
      </c>
      <c r="F12" s="5">
        <f>SUM(F11,H11)</f>
        <v>22</v>
      </c>
    </row>
    <row r="14" spans="1:8" ht="21" x14ac:dyDescent="0.4">
      <c r="A14" s="25" t="s">
        <v>1974</v>
      </c>
    </row>
    <row r="15" spans="1:8" x14ac:dyDescent="0.3">
      <c r="A15" s="26" t="s">
        <v>1975</v>
      </c>
    </row>
    <row r="16" spans="1:8" x14ac:dyDescent="0.3">
      <c r="A16" s="26" t="s">
        <v>1976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35F8-C2ED-4782-BB7C-644FC0E3CB28}">
  <sheetPr codeName="Sheet2"/>
  <dimension ref="A1:M281"/>
  <sheetViews>
    <sheetView topLeftCell="A127" zoomScale="70" zoomScaleNormal="70" workbookViewId="0">
      <selection activeCell="D106" sqref="D106"/>
    </sheetView>
  </sheetViews>
  <sheetFormatPr defaultRowHeight="14.4" x14ac:dyDescent="0.3"/>
  <cols>
    <col min="1" max="1" width="18.33203125" customWidth="1"/>
    <col min="3" max="3" width="73.6640625" customWidth="1"/>
    <col min="4" max="4" width="23.6640625" customWidth="1"/>
    <col min="5" max="5" width="27.44140625" customWidth="1"/>
    <col min="6" max="6" width="17.6640625" customWidth="1"/>
    <col min="7" max="7" width="85.33203125" customWidth="1"/>
    <col min="8" max="8" width="14.44140625" customWidth="1"/>
    <col min="9" max="9" width="17.44140625" customWidth="1"/>
    <col min="10" max="10" width="44.5546875" customWidth="1"/>
    <col min="11" max="11" width="17" customWidth="1"/>
    <col min="12" max="12" width="15.33203125" customWidth="1"/>
    <col min="13" max="13" width="50.6640625" customWidth="1"/>
  </cols>
  <sheetData>
    <row r="1" spans="1:13" x14ac:dyDescent="0.3">
      <c r="A1" t="s">
        <v>40</v>
      </c>
      <c r="B1" t="s">
        <v>1867</v>
      </c>
      <c r="C1" t="s">
        <v>16</v>
      </c>
      <c r="D1" t="s">
        <v>1872</v>
      </c>
      <c r="E1" t="s">
        <v>8</v>
      </c>
      <c r="F1" t="s">
        <v>28</v>
      </c>
      <c r="G1" t="s">
        <v>30</v>
      </c>
      <c r="H1" t="s">
        <v>1977</v>
      </c>
      <c r="I1" t="s">
        <v>1978</v>
      </c>
      <c r="J1" t="s">
        <v>1979</v>
      </c>
      <c r="K1" t="s">
        <v>38</v>
      </c>
      <c r="L1" t="s">
        <v>39</v>
      </c>
      <c r="M1" t="s">
        <v>51</v>
      </c>
    </row>
    <row r="2" spans="1:13" x14ac:dyDescent="0.3">
      <c r="A2" t="s">
        <v>153</v>
      </c>
      <c r="B2" t="b">
        <v>1</v>
      </c>
      <c r="C2" t="s">
        <v>1874</v>
      </c>
      <c r="D2" t="b">
        <v>1</v>
      </c>
      <c r="E2" t="s">
        <v>1875</v>
      </c>
      <c r="G2" t="s">
        <v>1671</v>
      </c>
      <c r="H2" t="b">
        <v>0</v>
      </c>
      <c r="K2">
        <v>2023</v>
      </c>
      <c r="L2">
        <v>4</v>
      </c>
      <c r="M2" t="s">
        <v>1669</v>
      </c>
    </row>
    <row r="3" spans="1:13" x14ac:dyDescent="0.3">
      <c r="A3" t="s">
        <v>154</v>
      </c>
      <c r="B3" t="b">
        <v>1</v>
      </c>
      <c r="C3" t="s">
        <v>1465</v>
      </c>
      <c r="D3" t="b">
        <v>1</v>
      </c>
      <c r="E3" t="s">
        <v>1876</v>
      </c>
      <c r="G3" t="s">
        <v>1672</v>
      </c>
      <c r="H3" t="b">
        <v>0</v>
      </c>
      <c r="K3">
        <v>2020</v>
      </c>
      <c r="L3">
        <v>3</v>
      </c>
      <c r="M3" t="s">
        <v>1670</v>
      </c>
    </row>
    <row r="4" spans="1:13" x14ac:dyDescent="0.3">
      <c r="A4" t="s">
        <v>199</v>
      </c>
      <c r="B4" t="b">
        <v>1</v>
      </c>
      <c r="C4" s="29" t="s">
        <v>466</v>
      </c>
      <c r="D4" t="b">
        <v>1</v>
      </c>
      <c r="E4" t="s">
        <v>1712</v>
      </c>
      <c r="F4" t="s">
        <v>1848</v>
      </c>
      <c r="G4" t="s">
        <v>1755</v>
      </c>
      <c r="H4" t="b">
        <v>1</v>
      </c>
      <c r="I4" t="b">
        <v>0</v>
      </c>
      <c r="J4" t="s">
        <v>1980</v>
      </c>
      <c r="K4">
        <v>2023</v>
      </c>
      <c r="L4">
        <v>0</v>
      </c>
      <c r="M4" t="s">
        <v>1797</v>
      </c>
    </row>
    <row r="5" spans="1:13" x14ac:dyDescent="0.3">
      <c r="A5" t="s">
        <v>156</v>
      </c>
      <c r="B5" t="b">
        <v>1</v>
      </c>
      <c r="C5" t="s">
        <v>1673</v>
      </c>
      <c r="D5" t="b">
        <v>0</v>
      </c>
      <c r="E5" t="s">
        <v>1683</v>
      </c>
      <c r="F5" t="s">
        <v>1820</v>
      </c>
      <c r="G5" t="s">
        <v>1734</v>
      </c>
      <c r="K5">
        <v>2024</v>
      </c>
      <c r="L5">
        <v>0</v>
      </c>
      <c r="M5" t="s">
        <v>1768</v>
      </c>
    </row>
    <row r="6" spans="1:13" x14ac:dyDescent="0.3">
      <c r="A6" t="s">
        <v>157</v>
      </c>
      <c r="B6" t="b">
        <v>1</v>
      </c>
      <c r="C6" t="s">
        <v>1674</v>
      </c>
      <c r="D6" t="b">
        <v>0</v>
      </c>
      <c r="E6" t="s">
        <v>1684</v>
      </c>
      <c r="F6" t="s">
        <v>1821</v>
      </c>
      <c r="G6" t="s">
        <v>1735</v>
      </c>
      <c r="K6">
        <v>2024</v>
      </c>
      <c r="L6">
        <v>0</v>
      </c>
      <c r="M6" t="s">
        <v>1769</v>
      </c>
    </row>
    <row r="7" spans="1:13" x14ac:dyDescent="0.3">
      <c r="A7" t="s">
        <v>158</v>
      </c>
      <c r="B7" t="b">
        <v>1</v>
      </c>
      <c r="C7" t="s">
        <v>456</v>
      </c>
      <c r="D7" t="b">
        <v>0</v>
      </c>
      <c r="E7" t="s">
        <v>1689</v>
      </c>
      <c r="F7" t="s">
        <v>1826</v>
      </c>
      <c r="G7" t="s">
        <v>572</v>
      </c>
      <c r="K7">
        <v>2020</v>
      </c>
      <c r="L7">
        <v>6</v>
      </c>
      <c r="M7" t="s">
        <v>1774</v>
      </c>
    </row>
    <row r="8" spans="1:13" x14ac:dyDescent="0.3">
      <c r="A8" t="s">
        <v>159</v>
      </c>
      <c r="B8" t="b">
        <v>1</v>
      </c>
      <c r="C8" t="s">
        <v>866</v>
      </c>
      <c r="D8" t="b">
        <v>0</v>
      </c>
      <c r="E8" t="s">
        <v>1685</v>
      </c>
      <c r="F8" t="s">
        <v>1822</v>
      </c>
      <c r="G8" t="s">
        <v>1736</v>
      </c>
      <c r="K8">
        <v>2024</v>
      </c>
      <c r="L8">
        <v>2</v>
      </c>
      <c r="M8" t="s">
        <v>1770</v>
      </c>
    </row>
    <row r="9" spans="1:13" x14ac:dyDescent="0.3">
      <c r="A9" t="s">
        <v>260</v>
      </c>
      <c r="B9" t="b">
        <v>1</v>
      </c>
      <c r="C9" s="29" t="s">
        <v>1047</v>
      </c>
      <c r="D9" t="b">
        <v>1</v>
      </c>
      <c r="E9" t="s">
        <v>1046</v>
      </c>
      <c r="F9" t="s">
        <v>1050</v>
      </c>
      <c r="G9" t="s">
        <v>1049</v>
      </c>
      <c r="H9" s="27" t="b">
        <v>1</v>
      </c>
      <c r="I9" t="b">
        <v>1</v>
      </c>
      <c r="J9" s="27"/>
      <c r="K9">
        <v>2023</v>
      </c>
      <c r="L9">
        <v>1</v>
      </c>
      <c r="M9" t="s">
        <v>1048</v>
      </c>
    </row>
    <row r="10" spans="1:13" x14ac:dyDescent="0.3">
      <c r="A10" t="s">
        <v>296</v>
      </c>
      <c r="B10" t="b">
        <v>1</v>
      </c>
      <c r="C10" s="29" t="s">
        <v>25</v>
      </c>
      <c r="D10" t="b">
        <v>1</v>
      </c>
      <c r="E10" t="s">
        <v>672</v>
      </c>
      <c r="F10" t="s">
        <v>148</v>
      </c>
      <c r="G10" t="s">
        <v>127</v>
      </c>
      <c r="H10" s="28" t="b">
        <v>1</v>
      </c>
      <c r="I10" t="b">
        <v>0</v>
      </c>
      <c r="J10" t="s">
        <v>1980</v>
      </c>
      <c r="K10">
        <v>2022</v>
      </c>
      <c r="L10">
        <v>9</v>
      </c>
      <c r="M10" t="s">
        <v>97</v>
      </c>
    </row>
    <row r="11" spans="1:13" x14ac:dyDescent="0.3">
      <c r="A11" t="s">
        <v>162</v>
      </c>
      <c r="B11" t="b">
        <v>1</v>
      </c>
      <c r="C11" t="s">
        <v>1676</v>
      </c>
      <c r="D11" t="b">
        <v>0</v>
      </c>
      <c r="E11" t="s">
        <v>1687</v>
      </c>
      <c r="F11" t="s">
        <v>1824</v>
      </c>
      <c r="G11" t="s">
        <v>1738</v>
      </c>
      <c r="K11">
        <v>2022</v>
      </c>
      <c r="L11">
        <v>0</v>
      </c>
      <c r="M11" t="s">
        <v>1772</v>
      </c>
    </row>
    <row r="12" spans="1:13" x14ac:dyDescent="0.3">
      <c r="A12" t="s">
        <v>163</v>
      </c>
      <c r="B12" t="b">
        <v>1</v>
      </c>
      <c r="C12" t="s">
        <v>1492</v>
      </c>
      <c r="D12" t="b">
        <v>0</v>
      </c>
      <c r="E12" t="s">
        <v>1688</v>
      </c>
      <c r="F12" t="s">
        <v>1825</v>
      </c>
      <c r="G12" t="s">
        <v>1739</v>
      </c>
      <c r="K12">
        <v>2021</v>
      </c>
      <c r="L12">
        <v>0</v>
      </c>
      <c r="M12" t="s">
        <v>1773</v>
      </c>
    </row>
    <row r="13" spans="1:13" x14ac:dyDescent="0.3">
      <c r="A13" t="s">
        <v>164</v>
      </c>
      <c r="B13" t="b">
        <v>1</v>
      </c>
      <c r="C13" t="s">
        <v>449</v>
      </c>
      <c r="D13" t="b">
        <v>0</v>
      </c>
      <c r="E13" t="s">
        <v>1705</v>
      </c>
      <c r="F13" t="s">
        <v>1841</v>
      </c>
      <c r="G13" t="s">
        <v>564</v>
      </c>
      <c r="K13">
        <v>2021</v>
      </c>
      <c r="L13">
        <v>20</v>
      </c>
      <c r="M13" t="s">
        <v>1790</v>
      </c>
    </row>
    <row r="14" spans="1:13" x14ac:dyDescent="0.3">
      <c r="A14" t="s">
        <v>165</v>
      </c>
      <c r="B14" t="b">
        <v>1</v>
      </c>
      <c r="C14" t="s">
        <v>442</v>
      </c>
      <c r="D14" t="b">
        <v>0</v>
      </c>
      <c r="E14" t="s">
        <v>1691</v>
      </c>
      <c r="F14" t="s">
        <v>1828</v>
      </c>
      <c r="G14" t="s">
        <v>557</v>
      </c>
      <c r="K14">
        <v>2021</v>
      </c>
      <c r="L14">
        <v>2</v>
      </c>
      <c r="M14" t="s">
        <v>1776</v>
      </c>
    </row>
    <row r="15" spans="1:13" x14ac:dyDescent="0.3">
      <c r="A15" t="s">
        <v>269</v>
      </c>
      <c r="B15" t="b">
        <v>1</v>
      </c>
      <c r="C15" s="29" t="s">
        <v>1066</v>
      </c>
      <c r="D15" t="b">
        <v>1</v>
      </c>
      <c r="E15" t="s">
        <v>1065</v>
      </c>
      <c r="F15" t="s">
        <v>1069</v>
      </c>
      <c r="G15" t="s">
        <v>1068</v>
      </c>
      <c r="H15" t="b">
        <v>1</v>
      </c>
      <c r="I15" t="b">
        <v>0</v>
      </c>
      <c r="J15" t="s">
        <v>1980</v>
      </c>
      <c r="K15">
        <v>2023</v>
      </c>
      <c r="L15">
        <v>0</v>
      </c>
      <c r="M15" t="s">
        <v>1067</v>
      </c>
    </row>
    <row r="16" spans="1:13" x14ac:dyDescent="0.3">
      <c r="A16" t="s">
        <v>183</v>
      </c>
      <c r="B16" t="b">
        <v>1</v>
      </c>
      <c r="C16" s="29" t="s">
        <v>507</v>
      </c>
      <c r="D16" t="b">
        <v>1</v>
      </c>
      <c r="E16" t="s">
        <v>1715</v>
      </c>
      <c r="F16" t="s">
        <v>1850</v>
      </c>
      <c r="G16" t="s">
        <v>619</v>
      </c>
      <c r="H16" t="b">
        <v>1</v>
      </c>
      <c r="I16" t="b">
        <v>0</v>
      </c>
      <c r="J16" t="s">
        <v>1980</v>
      </c>
      <c r="K16">
        <v>2022</v>
      </c>
      <c r="L16">
        <v>2</v>
      </c>
      <c r="M16" t="s">
        <v>1800</v>
      </c>
    </row>
    <row r="17" spans="1:13" x14ac:dyDescent="0.3">
      <c r="A17" t="s">
        <v>168</v>
      </c>
      <c r="B17" t="b">
        <v>1</v>
      </c>
      <c r="C17" t="s">
        <v>812</v>
      </c>
      <c r="D17" t="b">
        <v>0</v>
      </c>
      <c r="E17" t="s">
        <v>1694</v>
      </c>
      <c r="F17" t="s">
        <v>1831</v>
      </c>
      <c r="G17" t="s">
        <v>1742</v>
      </c>
      <c r="K17">
        <v>2024</v>
      </c>
      <c r="L17">
        <v>0</v>
      </c>
      <c r="M17" t="s">
        <v>1779</v>
      </c>
    </row>
    <row r="18" spans="1:13" x14ac:dyDescent="0.3">
      <c r="A18" t="s">
        <v>169</v>
      </c>
      <c r="B18" t="b">
        <v>1</v>
      </c>
      <c r="C18" t="s">
        <v>1679</v>
      </c>
      <c r="D18" t="b">
        <v>0</v>
      </c>
      <c r="E18" t="s">
        <v>1697</v>
      </c>
      <c r="F18" t="s">
        <v>1834</v>
      </c>
      <c r="G18" t="s">
        <v>1744</v>
      </c>
      <c r="K18">
        <v>2024</v>
      </c>
      <c r="L18">
        <v>0</v>
      </c>
      <c r="M18" t="s">
        <v>1782</v>
      </c>
    </row>
    <row r="19" spans="1:13" x14ac:dyDescent="0.3">
      <c r="A19" t="s">
        <v>170</v>
      </c>
      <c r="B19" t="b">
        <v>1</v>
      </c>
      <c r="C19" t="s">
        <v>455</v>
      </c>
      <c r="D19" t="b">
        <v>1</v>
      </c>
      <c r="E19" t="s">
        <v>1698</v>
      </c>
      <c r="F19" t="s">
        <v>1835</v>
      </c>
      <c r="G19" t="s">
        <v>1745</v>
      </c>
      <c r="H19" t="b">
        <v>0</v>
      </c>
      <c r="K19">
        <v>2021</v>
      </c>
      <c r="L19">
        <v>14</v>
      </c>
      <c r="M19" t="s">
        <v>1783</v>
      </c>
    </row>
    <row r="20" spans="1:13" x14ac:dyDescent="0.3">
      <c r="A20" t="s">
        <v>278</v>
      </c>
      <c r="B20" t="b">
        <v>1</v>
      </c>
      <c r="C20" s="29" t="s">
        <v>18</v>
      </c>
      <c r="D20" t="b">
        <v>1</v>
      </c>
      <c r="E20" t="s">
        <v>669</v>
      </c>
      <c r="F20" t="s">
        <v>29</v>
      </c>
      <c r="G20" t="s">
        <v>125</v>
      </c>
      <c r="H20" s="28" t="b">
        <v>1</v>
      </c>
      <c r="I20" t="b">
        <v>1</v>
      </c>
      <c r="J20" s="28"/>
      <c r="K20">
        <v>2022</v>
      </c>
      <c r="L20">
        <v>2</v>
      </c>
      <c r="M20" t="s">
        <v>93</v>
      </c>
    </row>
    <row r="21" spans="1:13" x14ac:dyDescent="0.3">
      <c r="A21" t="s">
        <v>172</v>
      </c>
      <c r="B21" t="b">
        <v>1</v>
      </c>
      <c r="C21" t="s">
        <v>751</v>
      </c>
      <c r="D21" t="b">
        <v>1</v>
      </c>
      <c r="E21" t="s">
        <v>1716</v>
      </c>
      <c r="F21" t="s">
        <v>1851</v>
      </c>
      <c r="G21" t="s">
        <v>636</v>
      </c>
      <c r="H21" t="b">
        <v>0</v>
      </c>
      <c r="K21">
        <v>2024</v>
      </c>
      <c r="L21">
        <v>0</v>
      </c>
      <c r="M21" t="s">
        <v>1801</v>
      </c>
    </row>
    <row r="22" spans="1:13" x14ac:dyDescent="0.3">
      <c r="A22" t="s">
        <v>173</v>
      </c>
      <c r="B22" t="b">
        <v>1</v>
      </c>
      <c r="C22" t="s">
        <v>1177</v>
      </c>
      <c r="D22" t="b">
        <v>0</v>
      </c>
      <c r="E22" t="s">
        <v>1690</v>
      </c>
      <c r="F22" t="s">
        <v>1827</v>
      </c>
      <c r="G22" t="s">
        <v>1740</v>
      </c>
      <c r="K22">
        <v>2022</v>
      </c>
      <c r="L22">
        <v>0</v>
      </c>
      <c r="M22" t="s">
        <v>1775</v>
      </c>
    </row>
    <row r="23" spans="1:13" x14ac:dyDescent="0.3">
      <c r="A23" t="s">
        <v>174</v>
      </c>
      <c r="B23" t="b">
        <v>1</v>
      </c>
      <c r="C23" t="s">
        <v>1445</v>
      </c>
      <c r="D23" t="b">
        <v>0</v>
      </c>
      <c r="E23" t="s">
        <v>1703</v>
      </c>
      <c r="F23" t="s">
        <v>1839</v>
      </c>
      <c r="G23" t="s">
        <v>1750</v>
      </c>
      <c r="K23">
        <v>2021</v>
      </c>
      <c r="L23">
        <v>0</v>
      </c>
      <c r="M23" t="s">
        <v>1788</v>
      </c>
    </row>
    <row r="24" spans="1:13" x14ac:dyDescent="0.3">
      <c r="A24" t="s">
        <v>175</v>
      </c>
      <c r="B24" t="b">
        <v>1</v>
      </c>
      <c r="C24" t="s">
        <v>1079</v>
      </c>
      <c r="D24" t="b">
        <v>0</v>
      </c>
      <c r="E24" t="s">
        <v>1718</v>
      </c>
      <c r="F24" t="s">
        <v>1853</v>
      </c>
      <c r="G24" t="s">
        <v>1757</v>
      </c>
      <c r="K24">
        <v>2023</v>
      </c>
      <c r="L24">
        <v>0</v>
      </c>
      <c r="M24" t="s">
        <v>1803</v>
      </c>
    </row>
    <row r="25" spans="1:13" x14ac:dyDescent="0.3">
      <c r="A25" t="s">
        <v>176</v>
      </c>
      <c r="B25" t="b">
        <v>1</v>
      </c>
      <c r="C25" t="s">
        <v>1678</v>
      </c>
      <c r="D25" t="b">
        <v>0</v>
      </c>
      <c r="E25" t="s">
        <v>1696</v>
      </c>
      <c r="F25" t="s">
        <v>1833</v>
      </c>
      <c r="G25" t="s">
        <v>1743</v>
      </c>
      <c r="K25">
        <v>2024</v>
      </c>
      <c r="L25">
        <v>0</v>
      </c>
      <c r="M25" t="s">
        <v>1781</v>
      </c>
    </row>
    <row r="26" spans="1:13" x14ac:dyDescent="0.3">
      <c r="A26" t="s">
        <v>177</v>
      </c>
      <c r="B26" t="b">
        <v>1</v>
      </c>
      <c r="C26" t="s">
        <v>1877</v>
      </c>
      <c r="D26" t="b">
        <v>1</v>
      </c>
      <c r="E26" t="s">
        <v>1879</v>
      </c>
      <c r="F26" t="s">
        <v>1886</v>
      </c>
      <c r="G26" t="s">
        <v>1881</v>
      </c>
      <c r="H26" t="b">
        <v>0</v>
      </c>
      <c r="K26">
        <v>2024</v>
      </c>
      <c r="L26">
        <v>0</v>
      </c>
      <c r="M26" t="s">
        <v>1884</v>
      </c>
    </row>
    <row r="27" spans="1:13" x14ac:dyDescent="0.3">
      <c r="A27" t="s">
        <v>178</v>
      </c>
      <c r="B27" t="b">
        <v>1</v>
      </c>
      <c r="C27" t="s">
        <v>443</v>
      </c>
      <c r="D27" t="b">
        <v>1</v>
      </c>
      <c r="E27" t="s">
        <v>1695</v>
      </c>
      <c r="F27" t="s">
        <v>1832</v>
      </c>
      <c r="G27" t="s">
        <v>558</v>
      </c>
      <c r="H27" t="b">
        <v>0</v>
      </c>
      <c r="K27">
        <v>2023</v>
      </c>
      <c r="L27">
        <v>2</v>
      </c>
      <c r="M27" t="s">
        <v>1780</v>
      </c>
    </row>
    <row r="28" spans="1:13" x14ac:dyDescent="0.3">
      <c r="A28" t="s">
        <v>179</v>
      </c>
      <c r="B28" t="b">
        <v>1</v>
      </c>
      <c r="C28" t="s">
        <v>43</v>
      </c>
      <c r="D28" t="b">
        <v>0</v>
      </c>
      <c r="E28" t="s">
        <v>647</v>
      </c>
      <c r="F28" t="s">
        <v>29</v>
      </c>
      <c r="G28" t="s">
        <v>45</v>
      </c>
      <c r="K28">
        <v>2024</v>
      </c>
      <c r="L28">
        <v>0</v>
      </c>
      <c r="M28" t="s">
        <v>47</v>
      </c>
    </row>
    <row r="29" spans="1:13" x14ac:dyDescent="0.3">
      <c r="A29" t="s">
        <v>180</v>
      </c>
      <c r="B29" t="b">
        <v>1</v>
      </c>
      <c r="C29" t="s">
        <v>463</v>
      </c>
      <c r="D29" t="b">
        <v>0</v>
      </c>
      <c r="E29" t="s">
        <v>1699</v>
      </c>
      <c r="F29" t="s">
        <v>1836</v>
      </c>
      <c r="G29" t="s">
        <v>1746</v>
      </c>
      <c r="K29">
        <v>2023</v>
      </c>
      <c r="L29">
        <v>5</v>
      </c>
      <c r="M29" t="s">
        <v>1784</v>
      </c>
    </row>
    <row r="30" spans="1:13" x14ac:dyDescent="0.3">
      <c r="A30" t="s">
        <v>181</v>
      </c>
      <c r="B30" t="b">
        <v>1</v>
      </c>
      <c r="C30" t="s">
        <v>452</v>
      </c>
      <c r="D30" t="b">
        <v>0</v>
      </c>
      <c r="E30" t="s">
        <v>1702</v>
      </c>
      <c r="F30" t="s">
        <v>29</v>
      </c>
      <c r="G30" t="s">
        <v>1749</v>
      </c>
      <c r="K30">
        <v>2023</v>
      </c>
      <c r="L30">
        <v>1</v>
      </c>
      <c r="M30" t="s">
        <v>1787</v>
      </c>
    </row>
    <row r="31" spans="1:13" x14ac:dyDescent="0.3">
      <c r="A31" t="s">
        <v>182</v>
      </c>
      <c r="B31" t="b">
        <v>1</v>
      </c>
      <c r="C31" t="s">
        <v>1042</v>
      </c>
      <c r="D31" t="b">
        <v>1</v>
      </c>
      <c r="E31" t="s">
        <v>1710</v>
      </c>
      <c r="F31" t="s">
        <v>1846</v>
      </c>
      <c r="G31" t="s">
        <v>1753</v>
      </c>
      <c r="H31" t="b">
        <v>0</v>
      </c>
      <c r="K31">
        <v>2023</v>
      </c>
      <c r="L31">
        <v>0</v>
      </c>
      <c r="M31" t="s">
        <v>1795</v>
      </c>
    </row>
    <row r="32" spans="1:13" x14ac:dyDescent="0.3">
      <c r="A32" t="s">
        <v>155</v>
      </c>
      <c r="B32" t="b">
        <v>1</v>
      </c>
      <c r="C32" s="29" t="s">
        <v>431</v>
      </c>
      <c r="D32" t="b">
        <v>1</v>
      </c>
      <c r="E32" t="s">
        <v>1682</v>
      </c>
      <c r="F32" t="s">
        <v>1819</v>
      </c>
      <c r="G32" t="s">
        <v>546</v>
      </c>
      <c r="H32" t="b">
        <v>1</v>
      </c>
      <c r="I32" t="b">
        <v>1</v>
      </c>
      <c r="K32">
        <v>2020</v>
      </c>
      <c r="L32">
        <v>1</v>
      </c>
      <c r="M32" t="s">
        <v>1767</v>
      </c>
    </row>
    <row r="33" spans="1:13" x14ac:dyDescent="0.3">
      <c r="A33" t="s">
        <v>184</v>
      </c>
      <c r="B33" t="b">
        <v>1</v>
      </c>
      <c r="C33" t="s">
        <v>44</v>
      </c>
      <c r="D33" t="b">
        <v>0</v>
      </c>
      <c r="E33" t="s">
        <v>649</v>
      </c>
      <c r="F33" t="s">
        <v>29</v>
      </c>
      <c r="G33" t="s">
        <v>46</v>
      </c>
      <c r="K33">
        <v>2024</v>
      </c>
      <c r="L33">
        <v>0</v>
      </c>
      <c r="M33" t="s">
        <v>49</v>
      </c>
    </row>
    <row r="34" spans="1:13" x14ac:dyDescent="0.3">
      <c r="A34" t="s">
        <v>185</v>
      </c>
      <c r="B34" t="b">
        <v>1</v>
      </c>
      <c r="C34" t="s">
        <v>806</v>
      </c>
      <c r="D34" t="b">
        <v>1</v>
      </c>
      <c r="E34" t="s">
        <v>1709</v>
      </c>
      <c r="F34" t="s">
        <v>1845</v>
      </c>
      <c r="G34" t="s">
        <v>1752</v>
      </c>
      <c r="H34" t="b">
        <v>0</v>
      </c>
      <c r="K34">
        <v>2024</v>
      </c>
      <c r="L34">
        <v>0</v>
      </c>
      <c r="M34" t="s">
        <v>1794</v>
      </c>
    </row>
    <row r="35" spans="1:13" x14ac:dyDescent="0.3">
      <c r="A35" t="s">
        <v>186</v>
      </c>
      <c r="B35" t="b">
        <v>1</v>
      </c>
      <c r="C35" t="s">
        <v>471</v>
      </c>
      <c r="D35" t="b">
        <v>0</v>
      </c>
      <c r="E35" t="s">
        <v>1704</v>
      </c>
      <c r="F35" t="s">
        <v>1840</v>
      </c>
      <c r="G35" t="s">
        <v>587</v>
      </c>
      <c r="K35">
        <v>2020</v>
      </c>
      <c r="L35">
        <v>24</v>
      </c>
      <c r="M35" t="s">
        <v>1789</v>
      </c>
    </row>
    <row r="36" spans="1:13" x14ac:dyDescent="0.3">
      <c r="A36" t="s">
        <v>187</v>
      </c>
      <c r="B36" t="b">
        <v>1</v>
      </c>
      <c r="C36" t="s">
        <v>464</v>
      </c>
      <c r="D36" t="b">
        <v>0</v>
      </c>
      <c r="E36" t="s">
        <v>1706</v>
      </c>
      <c r="F36" t="s">
        <v>1842</v>
      </c>
      <c r="G36" t="s">
        <v>580</v>
      </c>
      <c r="K36">
        <v>2021</v>
      </c>
      <c r="L36">
        <v>1</v>
      </c>
      <c r="M36" t="s">
        <v>1791</v>
      </c>
    </row>
    <row r="37" spans="1:13" x14ac:dyDescent="0.3">
      <c r="A37" t="s">
        <v>188</v>
      </c>
      <c r="B37" t="b">
        <v>1</v>
      </c>
      <c r="C37" t="s">
        <v>1878</v>
      </c>
      <c r="D37" t="b">
        <v>0</v>
      </c>
      <c r="E37" t="s">
        <v>1880</v>
      </c>
      <c r="F37" t="s">
        <v>1887</v>
      </c>
      <c r="G37" t="s">
        <v>1882</v>
      </c>
      <c r="K37">
        <v>2024</v>
      </c>
      <c r="L37">
        <v>0</v>
      </c>
      <c r="M37" t="s">
        <v>1885</v>
      </c>
    </row>
    <row r="38" spans="1:13" x14ac:dyDescent="0.3">
      <c r="A38" t="s">
        <v>189</v>
      </c>
      <c r="B38" t="b">
        <v>1</v>
      </c>
      <c r="C38" t="s">
        <v>756</v>
      </c>
      <c r="D38" t="b">
        <v>0</v>
      </c>
      <c r="E38" t="s">
        <v>1707</v>
      </c>
      <c r="F38" t="s">
        <v>1843</v>
      </c>
      <c r="G38" t="s">
        <v>1751</v>
      </c>
      <c r="K38">
        <v>2024</v>
      </c>
      <c r="L38">
        <v>0</v>
      </c>
      <c r="M38" t="s">
        <v>1792</v>
      </c>
    </row>
    <row r="39" spans="1:13" x14ac:dyDescent="0.3">
      <c r="A39" t="s">
        <v>190</v>
      </c>
      <c r="B39" t="b">
        <v>1</v>
      </c>
      <c r="C39" t="s">
        <v>1543</v>
      </c>
      <c r="D39" t="b">
        <v>0</v>
      </c>
      <c r="E39" t="s">
        <v>1713</v>
      </c>
      <c r="F39" t="s">
        <v>1849</v>
      </c>
      <c r="G39" t="s">
        <v>635</v>
      </c>
      <c r="K39">
        <v>2020</v>
      </c>
      <c r="L39">
        <v>78</v>
      </c>
      <c r="M39" t="s">
        <v>1798</v>
      </c>
    </row>
    <row r="40" spans="1:13" x14ac:dyDescent="0.3">
      <c r="A40" t="s">
        <v>191</v>
      </c>
      <c r="B40" t="b">
        <v>1</v>
      </c>
      <c r="C40" t="s">
        <v>512</v>
      </c>
      <c r="D40" t="b">
        <v>0</v>
      </c>
      <c r="E40" t="s">
        <v>1726</v>
      </c>
      <c r="F40" t="s">
        <v>1860</v>
      </c>
      <c r="G40" t="s">
        <v>1762</v>
      </c>
      <c r="K40">
        <v>2021</v>
      </c>
      <c r="L40">
        <v>4</v>
      </c>
      <c r="M40" t="s">
        <v>1811</v>
      </c>
    </row>
    <row r="41" spans="1:13" x14ac:dyDescent="0.3">
      <c r="A41" t="s">
        <v>192</v>
      </c>
      <c r="B41" t="b">
        <v>1</v>
      </c>
      <c r="C41" t="s">
        <v>526</v>
      </c>
      <c r="D41" t="b">
        <v>1</v>
      </c>
      <c r="E41" t="s">
        <v>1727</v>
      </c>
      <c r="F41" t="s">
        <v>1861</v>
      </c>
      <c r="G41" t="s">
        <v>1763</v>
      </c>
      <c r="H41" t="b">
        <v>0</v>
      </c>
      <c r="K41">
        <v>2020</v>
      </c>
      <c r="L41">
        <v>2</v>
      </c>
      <c r="M41" t="s">
        <v>1812</v>
      </c>
    </row>
    <row r="42" spans="1:13" x14ac:dyDescent="0.3">
      <c r="A42" t="s">
        <v>193</v>
      </c>
      <c r="B42" t="b">
        <v>1</v>
      </c>
      <c r="C42" t="s">
        <v>510</v>
      </c>
      <c r="D42" t="b">
        <v>0</v>
      </c>
      <c r="E42" t="s">
        <v>1732</v>
      </c>
      <c r="F42" t="s">
        <v>1865</v>
      </c>
      <c r="G42" t="s">
        <v>1766</v>
      </c>
      <c r="K42">
        <v>2024</v>
      </c>
      <c r="L42">
        <v>0</v>
      </c>
      <c r="M42" t="s">
        <v>1817</v>
      </c>
    </row>
    <row r="43" spans="1:13" x14ac:dyDescent="0.3">
      <c r="A43" t="s">
        <v>194</v>
      </c>
      <c r="B43" t="b">
        <v>1</v>
      </c>
      <c r="C43" t="s">
        <v>434</v>
      </c>
      <c r="D43" t="b">
        <v>0</v>
      </c>
      <c r="E43" t="s">
        <v>1708</v>
      </c>
      <c r="F43" t="s">
        <v>1844</v>
      </c>
      <c r="G43" t="s">
        <v>549</v>
      </c>
      <c r="K43">
        <v>2024</v>
      </c>
      <c r="L43">
        <v>0</v>
      </c>
      <c r="M43" t="s">
        <v>1793</v>
      </c>
    </row>
    <row r="44" spans="1:13" x14ac:dyDescent="0.3">
      <c r="A44" t="s">
        <v>195</v>
      </c>
      <c r="B44" t="b">
        <v>1</v>
      </c>
      <c r="C44" t="s">
        <v>1681</v>
      </c>
      <c r="D44" t="b">
        <v>0</v>
      </c>
      <c r="E44" t="s">
        <v>1717</v>
      </c>
      <c r="F44" t="s">
        <v>1852</v>
      </c>
      <c r="G44" t="s">
        <v>1756</v>
      </c>
      <c r="K44">
        <v>2024</v>
      </c>
      <c r="L44">
        <v>0</v>
      </c>
      <c r="M44" t="s">
        <v>1802</v>
      </c>
    </row>
    <row r="45" spans="1:13" x14ac:dyDescent="0.3">
      <c r="A45" t="s">
        <v>196</v>
      </c>
      <c r="B45" t="b">
        <v>1</v>
      </c>
      <c r="C45" t="s">
        <v>1038</v>
      </c>
      <c r="D45" t="b">
        <v>0</v>
      </c>
      <c r="E45" t="s">
        <v>1719</v>
      </c>
      <c r="F45" t="s">
        <v>29</v>
      </c>
      <c r="G45" t="s">
        <v>1758</v>
      </c>
      <c r="K45">
        <v>2023</v>
      </c>
      <c r="L45">
        <v>0</v>
      </c>
      <c r="M45" t="s">
        <v>1804</v>
      </c>
    </row>
    <row r="46" spans="1:13" x14ac:dyDescent="0.3">
      <c r="A46" t="s">
        <v>197</v>
      </c>
      <c r="B46" t="b">
        <v>1</v>
      </c>
      <c r="C46" t="s">
        <v>487</v>
      </c>
      <c r="D46" t="b">
        <v>1</v>
      </c>
      <c r="E46" t="s">
        <v>1711</v>
      </c>
      <c r="F46" t="s">
        <v>1847</v>
      </c>
      <c r="G46" t="s">
        <v>1754</v>
      </c>
      <c r="H46" t="b">
        <v>0</v>
      </c>
      <c r="K46">
        <v>2023</v>
      </c>
      <c r="L46">
        <v>2</v>
      </c>
      <c r="M46" t="s">
        <v>1796</v>
      </c>
    </row>
    <row r="47" spans="1:13" x14ac:dyDescent="0.3">
      <c r="A47" t="s">
        <v>198</v>
      </c>
      <c r="B47" t="b">
        <v>1</v>
      </c>
      <c r="C47" t="s">
        <v>24</v>
      </c>
      <c r="D47" t="b">
        <v>0</v>
      </c>
      <c r="E47" t="s">
        <v>648</v>
      </c>
      <c r="F47" t="s">
        <v>50</v>
      </c>
      <c r="G47" t="s">
        <v>1883</v>
      </c>
      <c r="K47">
        <v>2023</v>
      </c>
      <c r="L47">
        <v>2</v>
      </c>
      <c r="M47" t="s">
        <v>48</v>
      </c>
    </row>
    <row r="48" spans="1:13" x14ac:dyDescent="0.3">
      <c r="A48" t="s">
        <v>312</v>
      </c>
      <c r="B48" t="b">
        <v>1</v>
      </c>
      <c r="C48" s="29" t="s">
        <v>1412</v>
      </c>
      <c r="D48" t="b">
        <v>1</v>
      </c>
      <c r="E48" t="s">
        <v>1347</v>
      </c>
      <c r="F48" t="s">
        <v>1415</v>
      </c>
      <c r="G48" t="s">
        <v>1414</v>
      </c>
      <c r="H48" s="28" t="b">
        <v>1</v>
      </c>
      <c r="I48" t="b">
        <v>0</v>
      </c>
      <c r="J48" s="28" t="s">
        <v>1985</v>
      </c>
      <c r="K48">
        <v>2021</v>
      </c>
      <c r="L48">
        <v>1</v>
      </c>
      <c r="M48" t="s">
        <v>1413</v>
      </c>
    </row>
    <row r="49" spans="1:13" x14ac:dyDescent="0.3">
      <c r="A49" t="s">
        <v>200</v>
      </c>
      <c r="B49" t="b">
        <v>1</v>
      </c>
      <c r="C49" t="s">
        <v>514</v>
      </c>
      <c r="D49" t="b">
        <v>0</v>
      </c>
      <c r="E49" t="s">
        <v>1723</v>
      </c>
      <c r="F49" t="s">
        <v>1857</v>
      </c>
      <c r="G49" t="s">
        <v>1761</v>
      </c>
      <c r="K49">
        <v>2023</v>
      </c>
      <c r="L49">
        <v>6</v>
      </c>
      <c r="M49" t="s">
        <v>1808</v>
      </c>
    </row>
    <row r="50" spans="1:13" x14ac:dyDescent="0.3">
      <c r="A50" t="s">
        <v>201</v>
      </c>
      <c r="B50" t="b">
        <v>1</v>
      </c>
      <c r="C50" t="s">
        <v>527</v>
      </c>
      <c r="D50" t="b">
        <v>0</v>
      </c>
      <c r="E50" t="s">
        <v>1725</v>
      </c>
      <c r="F50" t="s">
        <v>1859</v>
      </c>
      <c r="G50" t="s">
        <v>639</v>
      </c>
      <c r="K50">
        <v>2022</v>
      </c>
      <c r="L50">
        <v>4</v>
      </c>
      <c r="M50" t="s">
        <v>1810</v>
      </c>
    </row>
    <row r="51" spans="1:13" x14ac:dyDescent="0.3">
      <c r="A51" t="s">
        <v>202</v>
      </c>
      <c r="B51" t="b">
        <v>1</v>
      </c>
      <c r="C51" t="s">
        <v>1261</v>
      </c>
      <c r="D51" t="b">
        <v>1</v>
      </c>
      <c r="E51" t="s">
        <v>1730</v>
      </c>
      <c r="F51" t="s">
        <v>1863</v>
      </c>
      <c r="G51" t="s">
        <v>1764</v>
      </c>
      <c r="H51" t="b">
        <v>0</v>
      </c>
      <c r="K51">
        <v>2022</v>
      </c>
      <c r="L51">
        <v>1</v>
      </c>
      <c r="M51" t="s">
        <v>1815</v>
      </c>
    </row>
    <row r="52" spans="1:13" x14ac:dyDescent="0.3">
      <c r="A52" t="s">
        <v>203</v>
      </c>
      <c r="B52" t="b">
        <v>1</v>
      </c>
      <c r="C52" t="s">
        <v>531</v>
      </c>
      <c r="D52" t="b">
        <v>0</v>
      </c>
      <c r="E52" t="s">
        <v>1714</v>
      </c>
      <c r="F52" t="s">
        <v>29</v>
      </c>
      <c r="G52" t="s">
        <v>643</v>
      </c>
      <c r="K52">
        <v>2023</v>
      </c>
      <c r="L52">
        <v>4</v>
      </c>
      <c r="M52" t="s">
        <v>1799</v>
      </c>
    </row>
    <row r="53" spans="1:13" x14ac:dyDescent="0.3">
      <c r="A53" t="s">
        <v>204</v>
      </c>
      <c r="B53" t="b">
        <v>1</v>
      </c>
      <c r="C53" t="s">
        <v>503</v>
      </c>
      <c r="D53" t="b">
        <v>0</v>
      </c>
      <c r="E53" t="s">
        <v>1720</v>
      </c>
      <c r="F53" t="s">
        <v>1854</v>
      </c>
      <c r="G53" t="s">
        <v>1759</v>
      </c>
      <c r="K53">
        <v>2020</v>
      </c>
      <c r="L53">
        <v>23</v>
      </c>
      <c r="M53" t="s">
        <v>1805</v>
      </c>
    </row>
    <row r="54" spans="1:13" x14ac:dyDescent="0.3">
      <c r="A54" t="s">
        <v>205</v>
      </c>
      <c r="B54" t="b">
        <v>1</v>
      </c>
      <c r="C54" t="s">
        <v>485</v>
      </c>
      <c r="D54" t="b">
        <v>0</v>
      </c>
      <c r="E54" t="s">
        <v>1721</v>
      </c>
      <c r="F54" t="s">
        <v>1855</v>
      </c>
      <c r="G54" t="s">
        <v>1760</v>
      </c>
      <c r="K54">
        <v>2022</v>
      </c>
      <c r="L54">
        <v>7</v>
      </c>
      <c r="M54" t="s">
        <v>1806</v>
      </c>
    </row>
    <row r="55" spans="1:13" x14ac:dyDescent="0.3">
      <c r="A55" t="s">
        <v>206</v>
      </c>
      <c r="B55" t="b">
        <v>1</v>
      </c>
      <c r="C55" t="s">
        <v>519</v>
      </c>
      <c r="D55" t="b">
        <v>0</v>
      </c>
      <c r="E55" t="s">
        <v>1722</v>
      </c>
      <c r="F55" t="s">
        <v>1856</v>
      </c>
      <c r="G55" t="s">
        <v>631</v>
      </c>
      <c r="K55">
        <v>2022</v>
      </c>
      <c r="L55">
        <v>6</v>
      </c>
      <c r="M55" t="s">
        <v>1807</v>
      </c>
    </row>
    <row r="56" spans="1:13" x14ac:dyDescent="0.3">
      <c r="A56" t="s">
        <v>207</v>
      </c>
      <c r="B56" t="b">
        <v>1</v>
      </c>
      <c r="C56" t="s">
        <v>532</v>
      </c>
      <c r="D56" t="b">
        <v>0</v>
      </c>
      <c r="E56" t="s">
        <v>1724</v>
      </c>
      <c r="F56" t="s">
        <v>1858</v>
      </c>
      <c r="G56" t="s">
        <v>644</v>
      </c>
      <c r="K56">
        <v>2021</v>
      </c>
      <c r="L56">
        <v>5</v>
      </c>
      <c r="M56" t="s">
        <v>1809</v>
      </c>
    </row>
    <row r="57" spans="1:13" x14ac:dyDescent="0.3">
      <c r="A57" t="s">
        <v>208</v>
      </c>
      <c r="B57" t="b">
        <v>1</v>
      </c>
      <c r="C57" t="s">
        <v>509</v>
      </c>
      <c r="D57" t="b">
        <v>1</v>
      </c>
      <c r="E57" t="s">
        <v>1728</v>
      </c>
      <c r="F57" t="s">
        <v>1862</v>
      </c>
      <c r="G57" t="s">
        <v>621</v>
      </c>
      <c r="H57" t="b">
        <v>0</v>
      </c>
      <c r="K57">
        <v>2023</v>
      </c>
      <c r="L57">
        <v>2</v>
      </c>
      <c r="M57" t="s">
        <v>1813</v>
      </c>
    </row>
    <row r="58" spans="1:13" x14ac:dyDescent="0.3">
      <c r="A58" t="s">
        <v>209</v>
      </c>
      <c r="B58" t="b">
        <v>1</v>
      </c>
      <c r="C58" t="s">
        <v>481</v>
      </c>
      <c r="D58" t="b">
        <v>0</v>
      </c>
      <c r="E58" t="s">
        <v>1729</v>
      </c>
      <c r="F58" t="s">
        <v>29</v>
      </c>
      <c r="G58" t="s">
        <v>596</v>
      </c>
      <c r="K58">
        <v>2021</v>
      </c>
      <c r="L58">
        <v>1</v>
      </c>
      <c r="M58" t="s">
        <v>1814</v>
      </c>
    </row>
    <row r="59" spans="1:13" x14ac:dyDescent="0.3">
      <c r="A59" t="s">
        <v>210</v>
      </c>
      <c r="B59" t="b">
        <v>1</v>
      </c>
      <c r="C59" t="s">
        <v>791</v>
      </c>
      <c r="D59" t="b">
        <v>0</v>
      </c>
      <c r="E59" t="s">
        <v>1731</v>
      </c>
      <c r="F59" t="s">
        <v>1864</v>
      </c>
      <c r="G59" t="s">
        <v>1765</v>
      </c>
      <c r="K59">
        <v>2024</v>
      </c>
      <c r="L59">
        <v>0</v>
      </c>
      <c r="M59" t="s">
        <v>1816</v>
      </c>
    </row>
    <row r="60" spans="1:13" x14ac:dyDescent="0.3">
      <c r="A60" t="s">
        <v>211</v>
      </c>
      <c r="B60" t="b">
        <v>1</v>
      </c>
      <c r="C60" t="s">
        <v>525</v>
      </c>
      <c r="D60" t="b">
        <v>0</v>
      </c>
      <c r="E60" t="s">
        <v>1733</v>
      </c>
      <c r="F60" t="s">
        <v>1866</v>
      </c>
      <c r="G60" t="s">
        <v>637</v>
      </c>
      <c r="K60">
        <v>2024</v>
      </c>
      <c r="L60">
        <v>0</v>
      </c>
      <c r="M60" t="s">
        <v>1818</v>
      </c>
    </row>
    <row r="61" spans="1:13" x14ac:dyDescent="0.3">
      <c r="A61" t="s">
        <v>212</v>
      </c>
      <c r="B61" t="b">
        <v>1</v>
      </c>
      <c r="C61" t="s">
        <v>477</v>
      </c>
      <c r="D61" t="b">
        <v>1</v>
      </c>
      <c r="E61" t="s">
        <v>714</v>
      </c>
      <c r="F61" t="s">
        <v>717</v>
      </c>
      <c r="G61" t="s">
        <v>716</v>
      </c>
      <c r="H61" t="b">
        <v>0</v>
      </c>
      <c r="K61">
        <v>2024</v>
      </c>
      <c r="L61">
        <v>3</v>
      </c>
      <c r="M61" t="s">
        <v>715</v>
      </c>
    </row>
    <row r="62" spans="1:13" x14ac:dyDescent="0.3">
      <c r="A62" t="s">
        <v>213</v>
      </c>
      <c r="B62" t="b">
        <v>1</v>
      </c>
      <c r="C62" t="s">
        <v>19</v>
      </c>
      <c r="D62" t="b">
        <v>1</v>
      </c>
      <c r="E62" t="s">
        <v>659</v>
      </c>
      <c r="F62" t="s">
        <v>138</v>
      </c>
      <c r="G62" t="s">
        <v>113</v>
      </c>
      <c r="H62" t="b">
        <v>0</v>
      </c>
      <c r="K62">
        <v>2023</v>
      </c>
      <c r="L62">
        <v>0</v>
      </c>
      <c r="M62" t="s">
        <v>79</v>
      </c>
    </row>
    <row r="63" spans="1:13" x14ac:dyDescent="0.3">
      <c r="A63" t="s">
        <v>214</v>
      </c>
      <c r="B63" t="b">
        <v>0</v>
      </c>
      <c r="C63" t="s">
        <v>722</v>
      </c>
      <c r="E63" t="s">
        <v>29</v>
      </c>
      <c r="F63" t="s">
        <v>29</v>
      </c>
      <c r="G63" t="s">
        <v>724</v>
      </c>
      <c r="K63">
        <v>2024</v>
      </c>
      <c r="L63">
        <v>0</v>
      </c>
      <c r="M63" t="s">
        <v>723</v>
      </c>
    </row>
    <row r="64" spans="1:13" x14ac:dyDescent="0.3">
      <c r="A64" t="s">
        <v>1914</v>
      </c>
      <c r="B64" t="b">
        <v>1</v>
      </c>
      <c r="C64" t="s">
        <v>888</v>
      </c>
      <c r="D64" t="b">
        <v>0</v>
      </c>
      <c r="E64" t="s">
        <v>887</v>
      </c>
      <c r="F64" t="s">
        <v>29</v>
      </c>
      <c r="G64" t="s">
        <v>890</v>
      </c>
      <c r="K64">
        <v>2024</v>
      </c>
      <c r="L64">
        <v>0</v>
      </c>
      <c r="M64" t="s">
        <v>889</v>
      </c>
    </row>
    <row r="65" spans="1:13" x14ac:dyDescent="0.3">
      <c r="A65" t="s">
        <v>1915</v>
      </c>
      <c r="B65" t="b">
        <v>1</v>
      </c>
      <c r="C65" t="s">
        <v>892</v>
      </c>
      <c r="D65" t="b">
        <v>0</v>
      </c>
      <c r="E65" t="s">
        <v>891</v>
      </c>
      <c r="F65" t="s">
        <v>894</v>
      </c>
      <c r="G65" t="s">
        <v>1889</v>
      </c>
      <c r="K65">
        <v>2024</v>
      </c>
      <c r="L65">
        <v>1</v>
      </c>
      <c r="M65" t="s">
        <v>893</v>
      </c>
    </row>
    <row r="66" spans="1:13" x14ac:dyDescent="0.3">
      <c r="A66" t="s">
        <v>215</v>
      </c>
      <c r="B66" t="b">
        <v>1</v>
      </c>
      <c r="C66" t="s">
        <v>445</v>
      </c>
      <c r="D66" t="b">
        <v>0</v>
      </c>
      <c r="E66" t="s">
        <v>725</v>
      </c>
      <c r="F66" t="s">
        <v>728</v>
      </c>
      <c r="G66" t="s">
        <v>727</v>
      </c>
      <c r="K66">
        <v>2024</v>
      </c>
      <c r="L66">
        <v>0</v>
      </c>
      <c r="M66" t="s">
        <v>726</v>
      </c>
    </row>
    <row r="67" spans="1:13" x14ac:dyDescent="0.3">
      <c r="A67" t="s">
        <v>266</v>
      </c>
      <c r="B67" t="b">
        <v>1</v>
      </c>
      <c r="C67" s="29" t="s">
        <v>61</v>
      </c>
      <c r="D67" t="b">
        <v>1</v>
      </c>
      <c r="E67" t="s">
        <v>666</v>
      </c>
      <c r="F67" t="s">
        <v>143</v>
      </c>
      <c r="G67" t="s">
        <v>122</v>
      </c>
      <c r="H67" s="27" t="b">
        <v>1</v>
      </c>
      <c r="I67" t="b">
        <v>0</v>
      </c>
      <c r="J67" s="28" t="s">
        <v>1985</v>
      </c>
      <c r="K67">
        <v>2022</v>
      </c>
      <c r="L67">
        <v>1</v>
      </c>
      <c r="M67" t="s">
        <v>89</v>
      </c>
    </row>
    <row r="68" spans="1:13" x14ac:dyDescent="0.3">
      <c r="A68" t="s">
        <v>675</v>
      </c>
      <c r="B68" t="b">
        <v>0</v>
      </c>
      <c r="C68" t="s">
        <v>895</v>
      </c>
      <c r="E68" t="s">
        <v>29</v>
      </c>
      <c r="F68" t="s">
        <v>29</v>
      </c>
      <c r="G68" t="s">
        <v>897</v>
      </c>
      <c r="K68">
        <v>2024</v>
      </c>
      <c r="L68">
        <v>0</v>
      </c>
      <c r="M68" t="s">
        <v>896</v>
      </c>
    </row>
    <row r="69" spans="1:13" x14ac:dyDescent="0.3">
      <c r="A69" t="s">
        <v>217</v>
      </c>
      <c r="B69" t="b">
        <v>1</v>
      </c>
      <c r="C69" t="s">
        <v>899</v>
      </c>
      <c r="D69" t="b">
        <v>1</v>
      </c>
      <c r="E69" t="s">
        <v>898</v>
      </c>
      <c r="F69" t="s">
        <v>902</v>
      </c>
      <c r="G69" t="s">
        <v>901</v>
      </c>
      <c r="H69" t="b">
        <v>0</v>
      </c>
      <c r="K69">
        <v>2023</v>
      </c>
      <c r="L69">
        <v>10</v>
      </c>
      <c r="M69" t="s">
        <v>900</v>
      </c>
    </row>
    <row r="70" spans="1:13" x14ac:dyDescent="0.3">
      <c r="A70" t="s">
        <v>218</v>
      </c>
      <c r="B70" t="b">
        <v>1</v>
      </c>
      <c r="C70" t="s">
        <v>470</v>
      </c>
      <c r="D70" t="b">
        <v>0</v>
      </c>
      <c r="E70" t="s">
        <v>733</v>
      </c>
      <c r="F70" t="s">
        <v>736</v>
      </c>
      <c r="G70" t="s">
        <v>735</v>
      </c>
      <c r="K70">
        <v>2024</v>
      </c>
      <c r="L70">
        <v>0</v>
      </c>
      <c r="M70" t="s">
        <v>734</v>
      </c>
    </row>
    <row r="71" spans="1:13" x14ac:dyDescent="0.3">
      <c r="A71" t="s">
        <v>219</v>
      </c>
      <c r="B71" t="b">
        <v>1</v>
      </c>
      <c r="C71" t="s">
        <v>496</v>
      </c>
      <c r="D71" t="b">
        <v>1</v>
      </c>
      <c r="E71" t="s">
        <v>903</v>
      </c>
      <c r="F71" t="s">
        <v>905</v>
      </c>
      <c r="G71" t="s">
        <v>1890</v>
      </c>
      <c r="H71" t="b">
        <v>0</v>
      </c>
      <c r="K71">
        <v>2024</v>
      </c>
      <c r="L71">
        <v>0</v>
      </c>
      <c r="M71" t="s">
        <v>904</v>
      </c>
    </row>
    <row r="72" spans="1:13" x14ac:dyDescent="0.3">
      <c r="A72" t="s">
        <v>220</v>
      </c>
      <c r="B72" t="b">
        <v>1</v>
      </c>
      <c r="C72" t="s">
        <v>907</v>
      </c>
      <c r="D72" t="b">
        <v>1</v>
      </c>
      <c r="E72" t="s">
        <v>906</v>
      </c>
      <c r="F72" t="s">
        <v>910</v>
      </c>
      <c r="G72" t="s">
        <v>909</v>
      </c>
      <c r="H72" t="b">
        <v>0</v>
      </c>
      <c r="K72">
        <v>2023</v>
      </c>
      <c r="L72">
        <v>4</v>
      </c>
      <c r="M72" t="s">
        <v>908</v>
      </c>
    </row>
    <row r="73" spans="1:13" x14ac:dyDescent="0.3">
      <c r="A73" t="s">
        <v>221</v>
      </c>
      <c r="B73" t="b">
        <v>1</v>
      </c>
      <c r="C73" t="s">
        <v>508</v>
      </c>
      <c r="D73" t="b">
        <v>1</v>
      </c>
      <c r="E73" t="s">
        <v>911</v>
      </c>
      <c r="F73" t="s">
        <v>29</v>
      </c>
      <c r="G73" t="s">
        <v>913</v>
      </c>
      <c r="H73" t="b">
        <v>0</v>
      </c>
      <c r="K73">
        <v>2023</v>
      </c>
      <c r="L73">
        <v>5</v>
      </c>
      <c r="M73" t="s">
        <v>912</v>
      </c>
    </row>
    <row r="74" spans="1:13" x14ac:dyDescent="0.3">
      <c r="A74" t="s">
        <v>160</v>
      </c>
      <c r="B74" t="b">
        <v>1</v>
      </c>
      <c r="C74" s="29" t="s">
        <v>1677</v>
      </c>
      <c r="D74" t="b">
        <v>1</v>
      </c>
      <c r="E74" t="s">
        <v>1692</v>
      </c>
      <c r="F74" t="s">
        <v>1829</v>
      </c>
      <c r="G74" t="s">
        <v>1741</v>
      </c>
      <c r="H74" t="b">
        <v>1</v>
      </c>
      <c r="I74" t="b">
        <v>1</v>
      </c>
      <c r="K74">
        <v>2020</v>
      </c>
      <c r="L74">
        <v>1</v>
      </c>
      <c r="M74" t="s">
        <v>1777</v>
      </c>
    </row>
    <row r="75" spans="1:13" x14ac:dyDescent="0.3">
      <c r="A75" t="s">
        <v>223</v>
      </c>
      <c r="B75" t="b">
        <v>1</v>
      </c>
      <c r="C75" t="s">
        <v>454</v>
      </c>
      <c r="D75" t="b">
        <v>0</v>
      </c>
      <c r="E75" t="s">
        <v>737</v>
      </c>
      <c r="F75" t="s">
        <v>740</v>
      </c>
      <c r="G75" t="s">
        <v>739</v>
      </c>
      <c r="K75">
        <v>2024</v>
      </c>
      <c r="L75">
        <v>2</v>
      </c>
      <c r="M75" t="s">
        <v>738</v>
      </c>
    </row>
    <row r="76" spans="1:13" x14ac:dyDescent="0.3">
      <c r="A76" t="s">
        <v>224</v>
      </c>
      <c r="B76" t="b">
        <v>0</v>
      </c>
      <c r="C76" t="s">
        <v>741</v>
      </c>
      <c r="E76" t="s">
        <v>29</v>
      </c>
      <c r="F76" t="s">
        <v>29</v>
      </c>
      <c r="G76" t="s">
        <v>743</v>
      </c>
      <c r="K76">
        <v>2024</v>
      </c>
      <c r="L76">
        <v>0</v>
      </c>
      <c r="M76" t="s">
        <v>742</v>
      </c>
    </row>
    <row r="77" spans="1:13" x14ac:dyDescent="0.3">
      <c r="A77" t="s">
        <v>1916</v>
      </c>
      <c r="B77" t="b">
        <v>1</v>
      </c>
      <c r="C77" t="s">
        <v>1071</v>
      </c>
      <c r="D77" t="b">
        <v>0</v>
      </c>
      <c r="E77" t="s">
        <v>1070</v>
      </c>
      <c r="F77" t="s">
        <v>29</v>
      </c>
      <c r="G77" t="s">
        <v>1073</v>
      </c>
      <c r="K77">
        <v>2023</v>
      </c>
      <c r="L77">
        <v>2</v>
      </c>
      <c r="M77" t="s">
        <v>1072</v>
      </c>
    </row>
    <row r="78" spans="1:13" x14ac:dyDescent="0.3">
      <c r="A78" t="s">
        <v>243</v>
      </c>
      <c r="B78" t="b">
        <v>1</v>
      </c>
      <c r="C78" s="29" t="s">
        <v>846</v>
      </c>
      <c r="D78" t="b">
        <v>1</v>
      </c>
      <c r="E78" t="s">
        <v>845</v>
      </c>
      <c r="F78" t="s">
        <v>29</v>
      </c>
      <c r="G78" t="s">
        <v>848</v>
      </c>
      <c r="H78" s="27" t="b">
        <v>1</v>
      </c>
      <c r="I78" t="b">
        <v>0</v>
      </c>
      <c r="J78" s="27" t="s">
        <v>2014</v>
      </c>
      <c r="K78">
        <v>2024</v>
      </c>
      <c r="L78">
        <v>3</v>
      </c>
      <c r="M78" t="s">
        <v>847</v>
      </c>
    </row>
    <row r="79" spans="1:13" x14ac:dyDescent="0.3">
      <c r="A79" t="s">
        <v>222</v>
      </c>
      <c r="B79" t="b">
        <v>1</v>
      </c>
      <c r="C79" s="29" t="s">
        <v>916</v>
      </c>
      <c r="D79" t="b">
        <v>1</v>
      </c>
      <c r="E79" t="s">
        <v>915</v>
      </c>
      <c r="F79" t="s">
        <v>919</v>
      </c>
      <c r="G79" t="s">
        <v>918</v>
      </c>
      <c r="H79" s="27" t="b">
        <v>1</v>
      </c>
      <c r="I79" t="b">
        <v>0</v>
      </c>
      <c r="J79" t="s">
        <v>1980</v>
      </c>
      <c r="K79">
        <v>2024</v>
      </c>
      <c r="L79">
        <v>1</v>
      </c>
      <c r="M79" t="s">
        <v>917</v>
      </c>
    </row>
    <row r="80" spans="1:13" x14ac:dyDescent="0.3">
      <c r="A80" t="s">
        <v>676</v>
      </c>
      <c r="B80" t="b">
        <v>1</v>
      </c>
      <c r="C80" t="s">
        <v>23</v>
      </c>
      <c r="D80" t="b">
        <v>0</v>
      </c>
      <c r="E80" t="s">
        <v>650</v>
      </c>
      <c r="F80" t="s">
        <v>29</v>
      </c>
      <c r="G80" t="s">
        <v>105</v>
      </c>
      <c r="K80">
        <v>2024</v>
      </c>
      <c r="L80">
        <v>3</v>
      </c>
      <c r="M80" t="s">
        <v>70</v>
      </c>
    </row>
    <row r="81" spans="1:13" x14ac:dyDescent="0.3">
      <c r="A81" t="s">
        <v>226</v>
      </c>
      <c r="B81" t="b">
        <v>1</v>
      </c>
      <c r="C81" t="s">
        <v>921</v>
      </c>
      <c r="D81" t="b">
        <v>0</v>
      </c>
      <c r="E81" t="s">
        <v>920</v>
      </c>
      <c r="F81" t="s">
        <v>924</v>
      </c>
      <c r="G81" t="s">
        <v>923</v>
      </c>
      <c r="K81">
        <v>2023</v>
      </c>
      <c r="L81">
        <v>2</v>
      </c>
      <c r="M81" t="s">
        <v>922</v>
      </c>
    </row>
    <row r="82" spans="1:13" x14ac:dyDescent="0.3">
      <c r="A82" t="s">
        <v>1918</v>
      </c>
      <c r="B82" t="b">
        <v>1</v>
      </c>
      <c r="C82" t="s">
        <v>745</v>
      </c>
      <c r="D82" t="b">
        <v>1</v>
      </c>
      <c r="E82" t="s">
        <v>744</v>
      </c>
      <c r="F82" t="s">
        <v>748</v>
      </c>
      <c r="G82" t="s">
        <v>747</v>
      </c>
      <c r="H82" t="b">
        <v>0</v>
      </c>
      <c r="K82">
        <v>2024</v>
      </c>
      <c r="L82">
        <v>0</v>
      </c>
      <c r="M82" t="s">
        <v>746</v>
      </c>
    </row>
    <row r="83" spans="1:13" x14ac:dyDescent="0.3">
      <c r="A83" t="s">
        <v>677</v>
      </c>
      <c r="B83" t="b">
        <v>1</v>
      </c>
      <c r="C83" t="s">
        <v>926</v>
      </c>
      <c r="D83" t="b">
        <v>0</v>
      </c>
      <c r="E83" t="s">
        <v>925</v>
      </c>
      <c r="F83" t="s">
        <v>929</v>
      </c>
      <c r="G83" t="s">
        <v>928</v>
      </c>
      <c r="K83">
        <v>2023</v>
      </c>
      <c r="L83">
        <v>11</v>
      </c>
      <c r="M83" t="s">
        <v>927</v>
      </c>
    </row>
    <row r="84" spans="1:13" x14ac:dyDescent="0.3">
      <c r="A84" t="s">
        <v>678</v>
      </c>
      <c r="B84" t="b">
        <v>1</v>
      </c>
      <c r="C84" t="s">
        <v>495</v>
      </c>
      <c r="D84" t="b">
        <v>0</v>
      </c>
      <c r="E84" t="s">
        <v>930</v>
      </c>
      <c r="F84" t="s">
        <v>933</v>
      </c>
      <c r="G84" t="s">
        <v>932</v>
      </c>
      <c r="K84">
        <v>2023</v>
      </c>
      <c r="L84">
        <v>4</v>
      </c>
      <c r="M84" t="s">
        <v>931</v>
      </c>
    </row>
    <row r="85" spans="1:13" x14ac:dyDescent="0.3">
      <c r="A85" t="s">
        <v>227</v>
      </c>
      <c r="B85" t="b">
        <v>1</v>
      </c>
      <c r="C85" t="s">
        <v>57</v>
      </c>
      <c r="D85" t="b">
        <v>1</v>
      </c>
      <c r="E85" t="s">
        <v>660</v>
      </c>
      <c r="F85" t="s">
        <v>29</v>
      </c>
      <c r="G85" t="s">
        <v>114</v>
      </c>
      <c r="H85" s="27" t="b">
        <v>0</v>
      </c>
      <c r="I85" s="27"/>
      <c r="J85" s="27"/>
      <c r="K85">
        <v>2023</v>
      </c>
      <c r="L85">
        <v>10</v>
      </c>
      <c r="M85" t="s">
        <v>80</v>
      </c>
    </row>
    <row r="86" spans="1:13" x14ac:dyDescent="0.3">
      <c r="A86" t="s">
        <v>228</v>
      </c>
      <c r="B86" t="b">
        <v>1</v>
      </c>
      <c r="C86" t="s">
        <v>52</v>
      </c>
      <c r="D86" t="b">
        <v>1</v>
      </c>
      <c r="E86" t="s">
        <v>651</v>
      </c>
      <c r="F86" t="s">
        <v>132</v>
      </c>
      <c r="G86" s="38" t="s">
        <v>106</v>
      </c>
      <c r="H86" t="b">
        <v>0</v>
      </c>
      <c r="K86">
        <v>2024</v>
      </c>
      <c r="L86">
        <v>0</v>
      </c>
      <c r="M86" t="s">
        <v>71</v>
      </c>
    </row>
    <row r="87" spans="1:13" x14ac:dyDescent="0.3">
      <c r="A87" t="s">
        <v>229</v>
      </c>
      <c r="B87" t="b">
        <v>1</v>
      </c>
      <c r="C87" t="s">
        <v>505</v>
      </c>
      <c r="D87" t="b">
        <v>0</v>
      </c>
      <c r="E87" t="s">
        <v>938</v>
      </c>
      <c r="F87" t="s">
        <v>941</v>
      </c>
      <c r="G87" t="s">
        <v>940</v>
      </c>
      <c r="K87">
        <v>2023</v>
      </c>
      <c r="L87">
        <v>17</v>
      </c>
      <c r="M87" t="s">
        <v>939</v>
      </c>
    </row>
    <row r="88" spans="1:13" x14ac:dyDescent="0.3">
      <c r="A88" t="s">
        <v>1919</v>
      </c>
      <c r="B88" t="b">
        <v>1</v>
      </c>
      <c r="C88" t="s">
        <v>761</v>
      </c>
      <c r="D88" t="b">
        <v>1</v>
      </c>
      <c r="E88" t="s">
        <v>760</v>
      </c>
      <c r="F88" t="s">
        <v>763</v>
      </c>
      <c r="G88" s="38" t="s">
        <v>1892</v>
      </c>
      <c r="H88" t="b">
        <v>0</v>
      </c>
      <c r="K88">
        <v>2024</v>
      </c>
      <c r="L88">
        <v>0</v>
      </c>
      <c r="M88" t="s">
        <v>762</v>
      </c>
    </row>
    <row r="89" spans="1:13" x14ac:dyDescent="0.3">
      <c r="A89" t="s">
        <v>1920</v>
      </c>
      <c r="B89" t="b">
        <v>1</v>
      </c>
      <c r="C89" t="s">
        <v>440</v>
      </c>
      <c r="D89" t="b">
        <v>1</v>
      </c>
      <c r="E89" t="s">
        <v>942</v>
      </c>
      <c r="F89" t="s">
        <v>29</v>
      </c>
      <c r="G89" t="s">
        <v>944</v>
      </c>
      <c r="H89" s="27" t="b">
        <v>0</v>
      </c>
      <c r="I89" s="27"/>
      <c r="J89" s="27"/>
      <c r="K89">
        <v>2023</v>
      </c>
      <c r="L89">
        <v>1</v>
      </c>
      <c r="M89" t="s">
        <v>943</v>
      </c>
    </row>
    <row r="90" spans="1:13" x14ac:dyDescent="0.3">
      <c r="A90" t="s">
        <v>1921</v>
      </c>
      <c r="B90" t="b">
        <v>1</v>
      </c>
      <c r="C90" t="s">
        <v>1107</v>
      </c>
      <c r="D90" t="b">
        <v>0</v>
      </c>
      <c r="E90" t="s">
        <v>1106</v>
      </c>
      <c r="F90" t="s">
        <v>29</v>
      </c>
      <c r="G90" t="s">
        <v>1109</v>
      </c>
      <c r="K90">
        <v>2023</v>
      </c>
      <c r="L90">
        <v>0</v>
      </c>
      <c r="M90" t="s">
        <v>1108</v>
      </c>
    </row>
    <row r="91" spans="1:13" x14ac:dyDescent="0.3">
      <c r="A91" t="s">
        <v>1922</v>
      </c>
      <c r="B91" t="b">
        <v>0</v>
      </c>
      <c r="C91" t="s">
        <v>764</v>
      </c>
      <c r="E91" t="s">
        <v>29</v>
      </c>
      <c r="F91" t="s">
        <v>29</v>
      </c>
      <c r="G91" t="s">
        <v>766</v>
      </c>
      <c r="K91">
        <v>2024</v>
      </c>
      <c r="L91">
        <v>0</v>
      </c>
      <c r="M91" t="s">
        <v>765</v>
      </c>
    </row>
    <row r="92" spans="1:13" x14ac:dyDescent="0.3">
      <c r="A92" t="s">
        <v>216</v>
      </c>
      <c r="B92" t="b">
        <v>1</v>
      </c>
      <c r="C92" s="29" t="s">
        <v>458</v>
      </c>
      <c r="D92" t="b">
        <v>1</v>
      </c>
      <c r="E92" t="s">
        <v>729</v>
      </c>
      <c r="F92" t="s">
        <v>732</v>
      </c>
      <c r="G92" t="s">
        <v>731</v>
      </c>
      <c r="H92" t="b">
        <v>1</v>
      </c>
      <c r="I92" t="b">
        <v>1</v>
      </c>
      <c r="K92">
        <v>2024</v>
      </c>
      <c r="L92">
        <v>1</v>
      </c>
      <c r="M92" t="s">
        <v>730</v>
      </c>
    </row>
    <row r="93" spans="1:13" x14ac:dyDescent="0.3">
      <c r="A93" t="s">
        <v>1923</v>
      </c>
      <c r="B93" t="b">
        <v>1</v>
      </c>
      <c r="C93" t="s">
        <v>773</v>
      </c>
      <c r="D93" t="b">
        <v>0</v>
      </c>
      <c r="E93" t="s">
        <v>772</v>
      </c>
      <c r="F93" t="s">
        <v>776</v>
      </c>
      <c r="G93" t="s">
        <v>775</v>
      </c>
      <c r="K93">
        <v>2024</v>
      </c>
      <c r="L93">
        <v>0</v>
      </c>
      <c r="M93" t="s">
        <v>774</v>
      </c>
    </row>
    <row r="94" spans="1:13" x14ac:dyDescent="0.3">
      <c r="A94" t="s">
        <v>225</v>
      </c>
      <c r="B94" t="b">
        <v>1</v>
      </c>
      <c r="C94" s="29" t="s">
        <v>528</v>
      </c>
      <c r="D94" t="b">
        <v>1</v>
      </c>
      <c r="E94" t="s">
        <v>1074</v>
      </c>
      <c r="F94" t="s">
        <v>1077</v>
      </c>
      <c r="G94" t="s">
        <v>1076</v>
      </c>
      <c r="H94" s="27" t="b">
        <v>1</v>
      </c>
      <c r="I94" t="b">
        <v>1</v>
      </c>
      <c r="J94" s="27"/>
      <c r="K94">
        <v>2023</v>
      </c>
      <c r="L94">
        <v>2</v>
      </c>
      <c r="M94" t="s">
        <v>1075</v>
      </c>
    </row>
    <row r="95" spans="1:13" x14ac:dyDescent="0.3">
      <c r="A95" t="s">
        <v>232</v>
      </c>
      <c r="B95" t="b">
        <v>1</v>
      </c>
      <c r="C95" t="s">
        <v>778</v>
      </c>
      <c r="D95" t="b">
        <v>0</v>
      </c>
      <c r="E95" t="s">
        <v>777</v>
      </c>
      <c r="F95" t="s">
        <v>781</v>
      </c>
      <c r="G95" t="s">
        <v>780</v>
      </c>
      <c r="K95">
        <v>2024</v>
      </c>
      <c r="L95">
        <v>0</v>
      </c>
      <c r="M95" t="s">
        <v>779</v>
      </c>
    </row>
    <row r="96" spans="1:13" x14ac:dyDescent="0.3">
      <c r="A96" t="s">
        <v>233</v>
      </c>
      <c r="B96" t="b">
        <v>1</v>
      </c>
      <c r="C96" t="s">
        <v>950</v>
      </c>
      <c r="D96" t="b">
        <v>0</v>
      </c>
      <c r="E96" t="s">
        <v>949</v>
      </c>
      <c r="F96" t="s">
        <v>29</v>
      </c>
      <c r="G96" t="s">
        <v>952</v>
      </c>
      <c r="K96">
        <v>2023</v>
      </c>
      <c r="L96">
        <v>1</v>
      </c>
      <c r="M96" t="s">
        <v>951</v>
      </c>
    </row>
    <row r="97" spans="1:13" x14ac:dyDescent="0.3">
      <c r="A97" t="s">
        <v>1924</v>
      </c>
      <c r="B97" t="b">
        <v>0</v>
      </c>
      <c r="C97" t="s">
        <v>59</v>
      </c>
      <c r="D97" t="b">
        <v>0</v>
      </c>
      <c r="E97" t="s">
        <v>29</v>
      </c>
      <c r="F97" t="s">
        <v>29</v>
      </c>
      <c r="G97" t="s">
        <v>117</v>
      </c>
      <c r="K97">
        <v>2023</v>
      </c>
      <c r="L97">
        <v>0</v>
      </c>
      <c r="M97" t="s">
        <v>83</v>
      </c>
    </row>
    <row r="98" spans="1:13" x14ac:dyDescent="0.3">
      <c r="A98" t="s">
        <v>234</v>
      </c>
      <c r="B98" t="b">
        <v>1</v>
      </c>
      <c r="C98" t="s">
        <v>17</v>
      </c>
      <c r="D98" t="b">
        <v>0</v>
      </c>
      <c r="E98" t="s">
        <v>652</v>
      </c>
      <c r="F98" t="s">
        <v>133</v>
      </c>
      <c r="G98" t="s">
        <v>107</v>
      </c>
      <c r="K98">
        <v>2024</v>
      </c>
      <c r="L98">
        <v>0</v>
      </c>
      <c r="M98" t="s">
        <v>72</v>
      </c>
    </row>
    <row r="99" spans="1:13" x14ac:dyDescent="0.3">
      <c r="A99" t="s">
        <v>235</v>
      </c>
      <c r="B99" t="b">
        <v>1</v>
      </c>
      <c r="C99" t="s">
        <v>492</v>
      </c>
      <c r="D99" t="b">
        <v>0</v>
      </c>
      <c r="E99" t="s">
        <v>786</v>
      </c>
      <c r="F99" t="s">
        <v>789</v>
      </c>
      <c r="G99" t="s">
        <v>788</v>
      </c>
      <c r="K99">
        <v>2024</v>
      </c>
      <c r="L99">
        <v>0</v>
      </c>
      <c r="M99" t="s">
        <v>787</v>
      </c>
    </row>
    <row r="100" spans="1:13" x14ac:dyDescent="0.3">
      <c r="A100" t="s">
        <v>236</v>
      </c>
      <c r="B100" t="b">
        <v>1</v>
      </c>
      <c r="C100" t="s">
        <v>796</v>
      </c>
      <c r="D100" t="b">
        <v>1</v>
      </c>
      <c r="E100" t="s">
        <v>795</v>
      </c>
      <c r="F100" t="s">
        <v>799</v>
      </c>
      <c r="G100" t="s">
        <v>798</v>
      </c>
      <c r="H100" s="27" t="b">
        <v>0</v>
      </c>
      <c r="I100" s="27"/>
      <c r="J100" s="27"/>
      <c r="K100">
        <v>2024</v>
      </c>
      <c r="L100">
        <v>1</v>
      </c>
      <c r="M100" t="s">
        <v>797</v>
      </c>
    </row>
    <row r="101" spans="1:13" x14ac:dyDescent="0.3">
      <c r="A101" t="s">
        <v>237</v>
      </c>
      <c r="B101" t="b">
        <v>1</v>
      </c>
      <c r="C101" t="s">
        <v>491</v>
      </c>
      <c r="D101" t="b">
        <v>0</v>
      </c>
      <c r="E101" t="s">
        <v>965</v>
      </c>
      <c r="F101" t="s">
        <v>29</v>
      </c>
      <c r="G101" t="s">
        <v>967</v>
      </c>
      <c r="K101">
        <v>2023</v>
      </c>
      <c r="L101">
        <v>6</v>
      </c>
      <c r="M101" t="s">
        <v>966</v>
      </c>
    </row>
    <row r="102" spans="1:13" x14ac:dyDescent="0.3">
      <c r="A102" t="s">
        <v>1925</v>
      </c>
      <c r="B102" t="b">
        <v>1</v>
      </c>
      <c r="C102" t="s">
        <v>801</v>
      </c>
      <c r="D102" t="b">
        <v>0</v>
      </c>
      <c r="E102" t="s">
        <v>800</v>
      </c>
      <c r="F102" t="s">
        <v>804</v>
      </c>
      <c r="G102" t="s">
        <v>803</v>
      </c>
      <c r="K102">
        <v>2024</v>
      </c>
      <c r="L102">
        <v>0</v>
      </c>
      <c r="M102" t="s">
        <v>802</v>
      </c>
    </row>
    <row r="103" spans="1:13" x14ac:dyDescent="0.3">
      <c r="A103" t="s">
        <v>1926</v>
      </c>
      <c r="B103" t="b">
        <v>1</v>
      </c>
      <c r="C103" t="s">
        <v>969</v>
      </c>
      <c r="D103" t="b">
        <v>0</v>
      </c>
      <c r="E103" t="s">
        <v>968</v>
      </c>
      <c r="F103" t="s">
        <v>972</v>
      </c>
      <c r="G103" t="s">
        <v>971</v>
      </c>
      <c r="K103">
        <v>2023</v>
      </c>
      <c r="L103">
        <v>3</v>
      </c>
      <c r="M103" t="s">
        <v>970</v>
      </c>
    </row>
    <row r="104" spans="1:13" x14ac:dyDescent="0.3">
      <c r="A104" t="s">
        <v>1927</v>
      </c>
      <c r="B104" t="b">
        <v>1</v>
      </c>
      <c r="C104" t="s">
        <v>817</v>
      </c>
      <c r="D104" t="b">
        <v>0</v>
      </c>
      <c r="E104" t="s">
        <v>816</v>
      </c>
      <c r="F104" t="s">
        <v>820</v>
      </c>
      <c r="G104" t="s">
        <v>819</v>
      </c>
      <c r="K104">
        <v>2024</v>
      </c>
      <c r="L104">
        <v>0</v>
      </c>
      <c r="M104" t="s">
        <v>818</v>
      </c>
    </row>
    <row r="105" spans="1:13" x14ac:dyDescent="0.3">
      <c r="A105" t="s">
        <v>1928</v>
      </c>
      <c r="B105" t="b">
        <v>1</v>
      </c>
      <c r="C105" t="s">
        <v>974</v>
      </c>
      <c r="D105" t="b">
        <v>0</v>
      </c>
      <c r="E105" t="s">
        <v>973</v>
      </c>
      <c r="F105" t="s">
        <v>977</v>
      </c>
      <c r="G105" t="s">
        <v>976</v>
      </c>
      <c r="K105">
        <v>2023</v>
      </c>
      <c r="L105">
        <v>1</v>
      </c>
      <c r="M105" t="s">
        <v>975</v>
      </c>
    </row>
    <row r="106" spans="1:13" x14ac:dyDescent="0.3">
      <c r="A106" t="s">
        <v>238</v>
      </c>
      <c r="B106" t="b">
        <v>1</v>
      </c>
      <c r="C106" t="s">
        <v>457</v>
      </c>
      <c r="D106" t="b">
        <v>0</v>
      </c>
      <c r="E106" t="s">
        <v>978</v>
      </c>
      <c r="F106" t="s">
        <v>29</v>
      </c>
      <c r="G106" t="s">
        <v>980</v>
      </c>
      <c r="K106">
        <v>2023</v>
      </c>
      <c r="L106">
        <v>0</v>
      </c>
      <c r="M106" t="s">
        <v>979</v>
      </c>
    </row>
    <row r="107" spans="1:13" x14ac:dyDescent="0.3">
      <c r="A107" t="s">
        <v>1929</v>
      </c>
      <c r="B107" t="b">
        <v>0</v>
      </c>
      <c r="C107" t="s">
        <v>58</v>
      </c>
      <c r="E107" t="s">
        <v>29</v>
      </c>
      <c r="F107" t="s">
        <v>29</v>
      </c>
      <c r="G107" t="s">
        <v>115</v>
      </c>
      <c r="K107">
        <v>2023</v>
      </c>
      <c r="L107">
        <v>0</v>
      </c>
      <c r="M107" t="s">
        <v>81</v>
      </c>
    </row>
    <row r="108" spans="1:13" x14ac:dyDescent="0.3">
      <c r="A108" t="s">
        <v>239</v>
      </c>
      <c r="B108" t="b">
        <v>1</v>
      </c>
      <c r="C108" t="s">
        <v>826</v>
      </c>
      <c r="D108" t="b">
        <v>0</v>
      </c>
      <c r="E108" t="s">
        <v>825</v>
      </c>
      <c r="F108" t="s">
        <v>829</v>
      </c>
      <c r="G108" s="38" t="s">
        <v>828</v>
      </c>
      <c r="K108">
        <v>2024</v>
      </c>
      <c r="L108">
        <v>0</v>
      </c>
      <c r="M108" t="s">
        <v>827</v>
      </c>
    </row>
    <row r="109" spans="1:13" x14ac:dyDescent="0.3">
      <c r="A109" t="s">
        <v>240</v>
      </c>
      <c r="B109" t="b">
        <v>1</v>
      </c>
      <c r="C109" t="s">
        <v>1126</v>
      </c>
      <c r="D109" t="b">
        <v>0</v>
      </c>
      <c r="E109" t="s">
        <v>1125</v>
      </c>
      <c r="F109" t="s">
        <v>29</v>
      </c>
      <c r="G109" t="s">
        <v>1128</v>
      </c>
      <c r="K109">
        <v>2023</v>
      </c>
      <c r="L109">
        <v>8</v>
      </c>
      <c r="M109" t="s">
        <v>1127</v>
      </c>
    </row>
    <row r="110" spans="1:13" x14ac:dyDescent="0.3">
      <c r="A110" t="s">
        <v>241</v>
      </c>
      <c r="B110" t="b">
        <v>1</v>
      </c>
      <c r="C110" t="s">
        <v>831</v>
      </c>
      <c r="D110" t="b">
        <v>0</v>
      </c>
      <c r="E110" t="s">
        <v>830</v>
      </c>
      <c r="F110" t="s">
        <v>834</v>
      </c>
      <c r="G110" t="s">
        <v>833</v>
      </c>
      <c r="K110">
        <v>2024</v>
      </c>
      <c r="L110">
        <v>0</v>
      </c>
      <c r="M110" t="s">
        <v>832</v>
      </c>
    </row>
    <row r="111" spans="1:13" x14ac:dyDescent="0.3">
      <c r="A111" t="s">
        <v>1930</v>
      </c>
      <c r="B111" t="b">
        <v>1</v>
      </c>
      <c r="C111" t="s">
        <v>836</v>
      </c>
      <c r="D111" t="b">
        <v>0</v>
      </c>
      <c r="E111" t="s">
        <v>835</v>
      </c>
      <c r="F111" t="s">
        <v>839</v>
      </c>
      <c r="G111" t="s">
        <v>838</v>
      </c>
      <c r="K111">
        <v>2024</v>
      </c>
      <c r="L111">
        <v>0</v>
      </c>
      <c r="M111" t="s">
        <v>837</v>
      </c>
    </row>
    <row r="112" spans="1:13" x14ac:dyDescent="0.3">
      <c r="A112" t="s">
        <v>242</v>
      </c>
      <c r="B112" t="b">
        <v>1</v>
      </c>
      <c r="C112" t="s">
        <v>841</v>
      </c>
      <c r="D112" t="b">
        <v>0</v>
      </c>
      <c r="E112" t="s">
        <v>840</v>
      </c>
      <c r="F112" t="s">
        <v>844</v>
      </c>
      <c r="G112" t="s">
        <v>843</v>
      </c>
      <c r="K112">
        <v>2024</v>
      </c>
      <c r="L112">
        <v>4</v>
      </c>
      <c r="M112" t="s">
        <v>842</v>
      </c>
    </row>
    <row r="113" spans="1:13" x14ac:dyDescent="0.3">
      <c r="A113" t="s">
        <v>230</v>
      </c>
      <c r="B113" t="b">
        <v>1</v>
      </c>
      <c r="C113" s="29" t="s">
        <v>768</v>
      </c>
      <c r="D113" t="b">
        <v>1</v>
      </c>
      <c r="E113" t="s">
        <v>767</v>
      </c>
      <c r="F113" t="s">
        <v>771</v>
      </c>
      <c r="G113" t="s">
        <v>770</v>
      </c>
      <c r="H113" s="27" t="b">
        <v>1</v>
      </c>
      <c r="I113" t="b">
        <v>1</v>
      </c>
      <c r="J113" s="27"/>
      <c r="K113">
        <v>2024</v>
      </c>
      <c r="L113">
        <v>2</v>
      </c>
      <c r="M113" t="s">
        <v>769</v>
      </c>
    </row>
    <row r="114" spans="1:13" x14ac:dyDescent="0.3">
      <c r="A114" t="s">
        <v>244</v>
      </c>
      <c r="B114" t="b">
        <v>1</v>
      </c>
      <c r="C114" t="s">
        <v>850</v>
      </c>
      <c r="D114" t="b">
        <v>0</v>
      </c>
      <c r="E114" t="s">
        <v>849</v>
      </c>
      <c r="F114" t="s">
        <v>853</v>
      </c>
      <c r="G114" t="s">
        <v>852</v>
      </c>
      <c r="K114">
        <v>2024</v>
      </c>
      <c r="L114">
        <v>0</v>
      </c>
      <c r="M114" t="s">
        <v>851</v>
      </c>
    </row>
    <row r="115" spans="1:13" x14ac:dyDescent="0.3">
      <c r="A115" t="s">
        <v>1933</v>
      </c>
      <c r="B115" t="b">
        <v>1</v>
      </c>
      <c r="C115" s="29" t="s">
        <v>861</v>
      </c>
      <c r="D115" t="b">
        <v>1</v>
      </c>
      <c r="E115" t="s">
        <v>860</v>
      </c>
      <c r="F115" t="s">
        <v>864</v>
      </c>
      <c r="G115" t="s">
        <v>863</v>
      </c>
      <c r="H115" t="b">
        <v>1</v>
      </c>
      <c r="I115" t="b">
        <v>0</v>
      </c>
      <c r="J115" t="s">
        <v>1980</v>
      </c>
      <c r="K115">
        <v>2024</v>
      </c>
      <c r="L115">
        <v>0</v>
      </c>
      <c r="M115" t="s">
        <v>862</v>
      </c>
    </row>
    <row r="116" spans="1:13" x14ac:dyDescent="0.3">
      <c r="A116" t="s">
        <v>246</v>
      </c>
      <c r="B116" t="b">
        <v>1</v>
      </c>
      <c r="C116" t="s">
        <v>982</v>
      </c>
      <c r="D116" t="b">
        <v>0</v>
      </c>
      <c r="E116" t="s">
        <v>981</v>
      </c>
      <c r="F116" t="s">
        <v>985</v>
      </c>
      <c r="G116" t="s">
        <v>984</v>
      </c>
      <c r="K116">
        <v>2023</v>
      </c>
      <c r="L116">
        <v>0</v>
      </c>
      <c r="M116" t="s">
        <v>983</v>
      </c>
    </row>
    <row r="117" spans="1:13" x14ac:dyDescent="0.3">
      <c r="A117" t="s">
        <v>247</v>
      </c>
      <c r="B117" t="b">
        <v>1</v>
      </c>
      <c r="C117" t="s">
        <v>914</v>
      </c>
      <c r="D117" t="b">
        <v>0</v>
      </c>
      <c r="E117" t="s">
        <v>986</v>
      </c>
      <c r="F117" t="s">
        <v>989</v>
      </c>
      <c r="G117" t="s">
        <v>988</v>
      </c>
      <c r="K117">
        <v>2023</v>
      </c>
      <c r="L117">
        <v>3</v>
      </c>
      <c r="M117" t="s">
        <v>987</v>
      </c>
    </row>
    <row r="118" spans="1:13" x14ac:dyDescent="0.3">
      <c r="A118" t="s">
        <v>248</v>
      </c>
      <c r="B118" t="b">
        <v>1</v>
      </c>
      <c r="C118" t="s">
        <v>991</v>
      </c>
      <c r="D118" t="b">
        <v>0</v>
      </c>
      <c r="E118" t="s">
        <v>990</v>
      </c>
      <c r="F118" t="s">
        <v>994</v>
      </c>
      <c r="G118" t="s">
        <v>993</v>
      </c>
      <c r="K118">
        <v>2023</v>
      </c>
      <c r="L118">
        <v>0</v>
      </c>
      <c r="M118" t="s">
        <v>992</v>
      </c>
    </row>
    <row r="119" spans="1:13" x14ac:dyDescent="0.3">
      <c r="A119" t="s">
        <v>249</v>
      </c>
      <c r="B119" t="b">
        <v>1</v>
      </c>
      <c r="C119" t="s">
        <v>996</v>
      </c>
      <c r="D119" t="b">
        <v>0</v>
      </c>
      <c r="E119" t="s">
        <v>995</v>
      </c>
      <c r="F119" t="s">
        <v>29</v>
      </c>
      <c r="G119" t="s">
        <v>1893</v>
      </c>
      <c r="K119">
        <v>2023</v>
      </c>
      <c r="L119">
        <v>3</v>
      </c>
      <c r="M119" t="s">
        <v>997</v>
      </c>
    </row>
    <row r="120" spans="1:13" x14ac:dyDescent="0.3">
      <c r="A120" t="s">
        <v>250</v>
      </c>
      <c r="B120" t="b">
        <v>1</v>
      </c>
      <c r="C120" t="s">
        <v>999</v>
      </c>
      <c r="D120" t="b">
        <v>0</v>
      </c>
      <c r="E120" t="s">
        <v>998</v>
      </c>
      <c r="F120" t="s">
        <v>1002</v>
      </c>
      <c r="G120" t="s">
        <v>1001</v>
      </c>
      <c r="K120">
        <v>2023</v>
      </c>
      <c r="L120">
        <v>0</v>
      </c>
      <c r="M120" t="s">
        <v>1000</v>
      </c>
    </row>
    <row r="121" spans="1:13" x14ac:dyDescent="0.3">
      <c r="A121" t="s">
        <v>251</v>
      </c>
      <c r="B121" t="b">
        <v>1</v>
      </c>
      <c r="C121" t="s">
        <v>488</v>
      </c>
      <c r="D121" t="b">
        <v>0</v>
      </c>
      <c r="E121" t="s">
        <v>1003</v>
      </c>
      <c r="F121" t="s">
        <v>29</v>
      </c>
      <c r="G121" t="s">
        <v>1005</v>
      </c>
      <c r="K121">
        <v>2023</v>
      </c>
      <c r="L121">
        <v>14</v>
      </c>
      <c r="M121" t="s">
        <v>1004</v>
      </c>
    </row>
    <row r="122" spans="1:13" x14ac:dyDescent="0.3">
      <c r="A122" t="s">
        <v>1931</v>
      </c>
      <c r="B122" t="b">
        <v>1</v>
      </c>
      <c r="C122" t="s">
        <v>56</v>
      </c>
      <c r="D122" t="b">
        <v>0</v>
      </c>
      <c r="E122" t="s">
        <v>658</v>
      </c>
      <c r="F122" t="s">
        <v>137</v>
      </c>
      <c r="G122" t="s">
        <v>112</v>
      </c>
      <c r="K122">
        <v>2024</v>
      </c>
      <c r="L122">
        <v>0</v>
      </c>
      <c r="M122" t="s">
        <v>78</v>
      </c>
    </row>
    <row r="123" spans="1:13" x14ac:dyDescent="0.3">
      <c r="A123" t="s">
        <v>1932</v>
      </c>
      <c r="B123" t="b">
        <v>1</v>
      </c>
      <c r="C123" t="s">
        <v>476</v>
      </c>
      <c r="D123" t="b">
        <v>1</v>
      </c>
      <c r="E123" t="s">
        <v>1006</v>
      </c>
      <c r="F123" t="s">
        <v>1009</v>
      </c>
      <c r="G123" t="s">
        <v>1008</v>
      </c>
      <c r="H123" s="27" t="b">
        <v>0</v>
      </c>
      <c r="I123" s="27"/>
      <c r="J123" s="27"/>
      <c r="K123">
        <v>2023</v>
      </c>
      <c r="L123">
        <v>2</v>
      </c>
      <c r="M123" t="s">
        <v>1007</v>
      </c>
    </row>
    <row r="124" spans="1:13" x14ac:dyDescent="0.3">
      <c r="A124" t="s">
        <v>307</v>
      </c>
      <c r="B124" t="b">
        <v>1</v>
      </c>
      <c r="C124" s="29" t="s">
        <v>436</v>
      </c>
      <c r="D124" t="b">
        <v>1</v>
      </c>
      <c r="E124" t="s">
        <v>1536</v>
      </c>
      <c r="F124" t="s">
        <v>1539</v>
      </c>
      <c r="G124" t="s">
        <v>1538</v>
      </c>
      <c r="H124" s="28" t="b">
        <v>1</v>
      </c>
      <c r="I124" t="b">
        <v>1</v>
      </c>
      <c r="J124" s="28"/>
      <c r="K124">
        <v>2020</v>
      </c>
      <c r="L124">
        <v>25</v>
      </c>
      <c r="M124" t="s">
        <v>1537</v>
      </c>
    </row>
    <row r="125" spans="1:13" x14ac:dyDescent="0.3">
      <c r="A125" t="s">
        <v>252</v>
      </c>
      <c r="B125" t="b">
        <v>1</v>
      </c>
      <c r="C125" t="s">
        <v>521</v>
      </c>
      <c r="D125" t="b">
        <v>0</v>
      </c>
      <c r="E125" t="s">
        <v>870</v>
      </c>
      <c r="F125" t="s">
        <v>873</v>
      </c>
      <c r="G125" t="s">
        <v>872</v>
      </c>
      <c r="K125">
        <v>2024</v>
      </c>
      <c r="L125">
        <v>1</v>
      </c>
      <c r="M125" t="s">
        <v>871</v>
      </c>
    </row>
    <row r="126" spans="1:13" x14ac:dyDescent="0.3">
      <c r="A126" t="s">
        <v>253</v>
      </c>
      <c r="B126" t="b">
        <v>1</v>
      </c>
      <c r="C126" t="s">
        <v>502</v>
      </c>
      <c r="D126" t="b">
        <v>0</v>
      </c>
      <c r="E126" t="s">
        <v>1138</v>
      </c>
      <c r="F126" t="s">
        <v>1141</v>
      </c>
      <c r="G126" t="s">
        <v>1140</v>
      </c>
      <c r="K126">
        <v>2023</v>
      </c>
      <c r="L126">
        <v>1</v>
      </c>
      <c r="M126" t="s">
        <v>1139</v>
      </c>
    </row>
    <row r="127" spans="1:13" x14ac:dyDescent="0.3">
      <c r="A127" t="s">
        <v>1960</v>
      </c>
      <c r="B127" t="b">
        <v>1</v>
      </c>
      <c r="C127" s="29" t="s">
        <v>446</v>
      </c>
      <c r="D127" t="b">
        <v>1</v>
      </c>
      <c r="E127" t="s">
        <v>1480</v>
      </c>
      <c r="F127" t="s">
        <v>1483</v>
      </c>
      <c r="G127" t="s">
        <v>1482</v>
      </c>
      <c r="H127" s="28" t="b">
        <v>1</v>
      </c>
      <c r="I127" t="b">
        <v>1</v>
      </c>
      <c r="J127" s="28"/>
      <c r="K127">
        <v>2021</v>
      </c>
      <c r="L127">
        <v>2</v>
      </c>
      <c r="M127" t="s">
        <v>1481</v>
      </c>
    </row>
    <row r="128" spans="1:13" x14ac:dyDescent="0.3">
      <c r="A128" t="s">
        <v>255</v>
      </c>
      <c r="B128" t="b">
        <v>1</v>
      </c>
      <c r="C128" t="s">
        <v>53</v>
      </c>
      <c r="D128" t="b">
        <v>1</v>
      </c>
      <c r="E128" t="s">
        <v>653</v>
      </c>
      <c r="F128" t="s">
        <v>134</v>
      </c>
      <c r="G128" t="s">
        <v>108</v>
      </c>
      <c r="H128" t="b">
        <v>0</v>
      </c>
      <c r="K128">
        <v>2024</v>
      </c>
      <c r="L128">
        <v>0</v>
      </c>
      <c r="M128" t="s">
        <v>73</v>
      </c>
    </row>
    <row r="129" spans="1:13" x14ac:dyDescent="0.3">
      <c r="A129" t="s">
        <v>1934</v>
      </c>
      <c r="B129" t="b">
        <v>1</v>
      </c>
      <c r="C129" t="s">
        <v>506</v>
      </c>
      <c r="D129" t="b">
        <v>1</v>
      </c>
      <c r="E129" t="s">
        <v>878</v>
      </c>
      <c r="F129" t="s">
        <v>880</v>
      </c>
      <c r="G129" t="s">
        <v>1894</v>
      </c>
      <c r="H129" t="b">
        <v>0</v>
      </c>
      <c r="K129">
        <v>2024</v>
      </c>
      <c r="L129">
        <v>0</v>
      </c>
      <c r="M129" t="s">
        <v>879</v>
      </c>
    </row>
    <row r="130" spans="1:13" x14ac:dyDescent="0.3">
      <c r="A130" t="s">
        <v>256</v>
      </c>
      <c r="B130" t="b">
        <v>1</v>
      </c>
      <c r="C130" t="s">
        <v>1011</v>
      </c>
      <c r="D130" t="b">
        <v>0</v>
      </c>
      <c r="E130" t="s">
        <v>1010</v>
      </c>
      <c r="F130" t="s">
        <v>29</v>
      </c>
      <c r="G130" t="s">
        <v>1013</v>
      </c>
      <c r="K130">
        <v>2023</v>
      </c>
      <c r="L130">
        <v>0</v>
      </c>
      <c r="M130" t="s">
        <v>1012</v>
      </c>
    </row>
    <row r="131" spans="1:13" x14ac:dyDescent="0.3">
      <c r="A131" t="s">
        <v>257</v>
      </c>
      <c r="B131" t="b">
        <v>1</v>
      </c>
      <c r="C131" t="s">
        <v>54</v>
      </c>
      <c r="D131" t="b">
        <v>0</v>
      </c>
      <c r="E131" t="s">
        <v>654</v>
      </c>
      <c r="F131" t="s">
        <v>135</v>
      </c>
      <c r="G131" t="s">
        <v>1895</v>
      </c>
      <c r="K131">
        <v>2024</v>
      </c>
      <c r="L131">
        <v>0</v>
      </c>
      <c r="M131" t="s">
        <v>74</v>
      </c>
    </row>
    <row r="132" spans="1:13" x14ac:dyDescent="0.3">
      <c r="A132" t="s">
        <v>1935</v>
      </c>
      <c r="B132" t="b">
        <v>1</v>
      </c>
      <c r="C132" t="s">
        <v>533</v>
      </c>
      <c r="D132" t="b">
        <v>0</v>
      </c>
      <c r="E132" t="s">
        <v>1015</v>
      </c>
      <c r="F132" t="s">
        <v>1017</v>
      </c>
      <c r="G132" t="s">
        <v>1896</v>
      </c>
      <c r="K132">
        <v>2023</v>
      </c>
      <c r="L132">
        <v>2</v>
      </c>
      <c r="M132" t="s">
        <v>1016</v>
      </c>
    </row>
    <row r="133" spans="1:13" x14ac:dyDescent="0.3">
      <c r="A133" t="s">
        <v>327</v>
      </c>
      <c r="B133" t="b">
        <v>1</v>
      </c>
      <c r="C133" s="30" t="s">
        <v>1521</v>
      </c>
      <c r="D133" t="b">
        <v>1</v>
      </c>
      <c r="E133" t="s">
        <v>1520</v>
      </c>
      <c r="F133" t="s">
        <v>1524</v>
      </c>
      <c r="G133" t="s">
        <v>1523</v>
      </c>
      <c r="H133" s="28" t="b">
        <v>1</v>
      </c>
      <c r="I133" t="s">
        <v>2001</v>
      </c>
      <c r="J133" s="28"/>
      <c r="K133">
        <v>2021</v>
      </c>
      <c r="L133">
        <v>3</v>
      </c>
      <c r="M133" t="s">
        <v>1522</v>
      </c>
    </row>
    <row r="134" spans="1:13" x14ac:dyDescent="0.3">
      <c r="A134" t="s">
        <v>679</v>
      </c>
      <c r="B134" t="b">
        <v>1</v>
      </c>
      <c r="C134" t="s">
        <v>1019</v>
      </c>
      <c r="D134" t="b">
        <v>0</v>
      </c>
      <c r="E134" t="s">
        <v>1018</v>
      </c>
      <c r="F134" t="s">
        <v>537</v>
      </c>
      <c r="G134" t="s">
        <v>1021</v>
      </c>
      <c r="K134">
        <v>2023</v>
      </c>
      <c r="L134">
        <v>0</v>
      </c>
      <c r="M134" t="s">
        <v>1020</v>
      </c>
    </row>
    <row r="135" spans="1:13" x14ac:dyDescent="0.3">
      <c r="A135" t="s">
        <v>1937</v>
      </c>
      <c r="B135" t="b">
        <v>1</v>
      </c>
      <c r="C135" t="s">
        <v>1023</v>
      </c>
      <c r="D135" t="b">
        <v>0</v>
      </c>
      <c r="E135" t="s">
        <v>1022</v>
      </c>
      <c r="F135" t="s">
        <v>1026</v>
      </c>
      <c r="G135" t="s">
        <v>1025</v>
      </c>
      <c r="K135">
        <v>2023</v>
      </c>
      <c r="L135">
        <v>0</v>
      </c>
      <c r="M135" t="s">
        <v>1024</v>
      </c>
    </row>
    <row r="136" spans="1:13" x14ac:dyDescent="0.3">
      <c r="A136" t="s">
        <v>258</v>
      </c>
      <c r="B136" t="b">
        <v>0</v>
      </c>
      <c r="C136" t="s">
        <v>1165</v>
      </c>
      <c r="E136" t="s">
        <v>29</v>
      </c>
      <c r="F136" t="s">
        <v>29</v>
      </c>
      <c r="G136" t="s">
        <v>1897</v>
      </c>
      <c r="K136">
        <v>2022</v>
      </c>
      <c r="L136">
        <v>0</v>
      </c>
      <c r="M136" t="s">
        <v>1166</v>
      </c>
    </row>
    <row r="137" spans="1:13" x14ac:dyDescent="0.3">
      <c r="A137" t="s">
        <v>1938</v>
      </c>
      <c r="B137" t="b">
        <v>1</v>
      </c>
      <c r="C137" t="s">
        <v>1168</v>
      </c>
      <c r="D137" t="b">
        <v>0</v>
      </c>
      <c r="E137" t="s">
        <v>1167</v>
      </c>
      <c r="F137" t="s">
        <v>1171</v>
      </c>
      <c r="G137" t="s">
        <v>1170</v>
      </c>
      <c r="K137">
        <v>2022</v>
      </c>
      <c r="L137">
        <v>0</v>
      </c>
      <c r="M137" t="s">
        <v>1169</v>
      </c>
    </row>
    <row r="138" spans="1:13" x14ac:dyDescent="0.3">
      <c r="A138" t="s">
        <v>1939</v>
      </c>
      <c r="B138" t="b">
        <v>1</v>
      </c>
      <c r="C138" t="s">
        <v>1028</v>
      </c>
      <c r="D138" t="b">
        <v>1</v>
      </c>
      <c r="E138" t="s">
        <v>1027</v>
      </c>
      <c r="F138" t="s">
        <v>1031</v>
      </c>
      <c r="G138" t="s">
        <v>1030</v>
      </c>
      <c r="H138" s="27" t="b">
        <v>0</v>
      </c>
      <c r="I138" s="27"/>
      <c r="J138" s="27"/>
      <c r="K138">
        <v>2023</v>
      </c>
      <c r="L138">
        <v>9</v>
      </c>
      <c r="M138" t="s">
        <v>1029</v>
      </c>
    </row>
    <row r="139" spans="1:13" x14ac:dyDescent="0.3">
      <c r="A139" t="s">
        <v>1940</v>
      </c>
      <c r="B139" t="b">
        <v>1</v>
      </c>
      <c r="C139" t="s">
        <v>497</v>
      </c>
      <c r="D139" t="b">
        <v>0</v>
      </c>
      <c r="E139" t="s">
        <v>1172</v>
      </c>
      <c r="F139" t="s">
        <v>1175</v>
      </c>
      <c r="G139" t="s">
        <v>1174</v>
      </c>
      <c r="K139">
        <v>2022</v>
      </c>
      <c r="L139">
        <v>3</v>
      </c>
      <c r="M139" t="s">
        <v>1173</v>
      </c>
    </row>
    <row r="140" spans="1:13" x14ac:dyDescent="0.3">
      <c r="A140" t="s">
        <v>1941</v>
      </c>
      <c r="B140" t="b">
        <v>1</v>
      </c>
      <c r="C140" t="s">
        <v>1033</v>
      </c>
      <c r="D140" t="b">
        <v>0</v>
      </c>
      <c r="E140" t="s">
        <v>1032</v>
      </c>
      <c r="F140" t="s">
        <v>1036</v>
      </c>
      <c r="G140" t="s">
        <v>1035</v>
      </c>
      <c r="K140">
        <v>2023</v>
      </c>
      <c r="L140">
        <v>0</v>
      </c>
      <c r="M140" t="s">
        <v>1034</v>
      </c>
    </row>
    <row r="141" spans="1:13" x14ac:dyDescent="0.3">
      <c r="A141" t="s">
        <v>259</v>
      </c>
      <c r="B141" t="b">
        <v>1</v>
      </c>
      <c r="C141" t="s">
        <v>522</v>
      </c>
      <c r="D141" t="b">
        <v>1</v>
      </c>
      <c r="E141" t="s">
        <v>1299</v>
      </c>
      <c r="F141" t="s">
        <v>543</v>
      </c>
      <c r="G141" t="s">
        <v>1301</v>
      </c>
      <c r="H141" s="27" t="b">
        <v>0</v>
      </c>
      <c r="I141" s="27"/>
      <c r="J141" s="27"/>
      <c r="K141">
        <v>2021</v>
      </c>
      <c r="L141">
        <v>1</v>
      </c>
      <c r="M141" t="s">
        <v>1300</v>
      </c>
    </row>
    <row r="142" spans="1:13" x14ac:dyDescent="0.3">
      <c r="A142" t="s">
        <v>286</v>
      </c>
      <c r="B142" t="b">
        <v>1</v>
      </c>
      <c r="C142" s="29" t="s">
        <v>439</v>
      </c>
      <c r="D142" t="b">
        <v>1</v>
      </c>
      <c r="E142" t="s">
        <v>1253</v>
      </c>
      <c r="F142" t="s">
        <v>538</v>
      </c>
      <c r="G142" t="s">
        <v>1255</v>
      </c>
      <c r="H142" s="28" t="b">
        <v>1</v>
      </c>
      <c r="I142" t="b">
        <v>1</v>
      </c>
      <c r="J142" s="28"/>
      <c r="K142">
        <v>2022</v>
      </c>
      <c r="L142">
        <v>1</v>
      </c>
      <c r="M142" t="s">
        <v>1254</v>
      </c>
    </row>
    <row r="143" spans="1:13" x14ac:dyDescent="0.3">
      <c r="A143" t="s">
        <v>1942</v>
      </c>
      <c r="B143" t="b">
        <v>1</v>
      </c>
      <c r="C143" t="s">
        <v>20</v>
      </c>
      <c r="D143" t="b">
        <v>0</v>
      </c>
      <c r="E143" t="s">
        <v>662</v>
      </c>
      <c r="F143" t="s">
        <v>140</v>
      </c>
      <c r="G143" t="s">
        <v>118</v>
      </c>
      <c r="K143">
        <v>2022</v>
      </c>
      <c r="L143">
        <v>1</v>
      </c>
      <c r="M143" t="s">
        <v>84</v>
      </c>
    </row>
    <row r="144" spans="1:13" x14ac:dyDescent="0.3">
      <c r="A144" t="s">
        <v>680</v>
      </c>
      <c r="B144" t="b">
        <v>1</v>
      </c>
      <c r="C144" t="s">
        <v>1052</v>
      </c>
      <c r="D144" t="b">
        <v>1</v>
      </c>
      <c r="E144" t="s">
        <v>1051</v>
      </c>
      <c r="F144" t="s">
        <v>1055</v>
      </c>
      <c r="G144" t="s">
        <v>1054</v>
      </c>
      <c r="H144" s="27" t="b">
        <v>0</v>
      </c>
      <c r="I144" s="27"/>
      <c r="J144" s="27"/>
      <c r="K144">
        <v>2023</v>
      </c>
      <c r="L144">
        <v>1</v>
      </c>
      <c r="M144" t="s">
        <v>1053</v>
      </c>
    </row>
    <row r="145" spans="1:13" x14ac:dyDescent="0.3">
      <c r="A145" t="s">
        <v>261</v>
      </c>
      <c r="B145" t="b">
        <v>1</v>
      </c>
      <c r="C145" t="s">
        <v>1307</v>
      </c>
      <c r="D145" t="b">
        <v>0</v>
      </c>
      <c r="E145" t="s">
        <v>1306</v>
      </c>
      <c r="F145" t="s">
        <v>1310</v>
      </c>
      <c r="G145" t="s">
        <v>1309</v>
      </c>
      <c r="K145">
        <v>2022</v>
      </c>
      <c r="L145">
        <v>0</v>
      </c>
      <c r="M145" t="s">
        <v>1308</v>
      </c>
    </row>
    <row r="146" spans="1:13" x14ac:dyDescent="0.3">
      <c r="A146" t="s">
        <v>681</v>
      </c>
      <c r="B146" t="b">
        <v>0</v>
      </c>
      <c r="C146" t="s">
        <v>60</v>
      </c>
      <c r="E146" t="s">
        <v>29</v>
      </c>
      <c r="F146" t="s">
        <v>29</v>
      </c>
      <c r="G146" t="s">
        <v>119</v>
      </c>
      <c r="K146">
        <v>2023</v>
      </c>
      <c r="L146">
        <v>0</v>
      </c>
      <c r="M146" t="s">
        <v>85</v>
      </c>
    </row>
    <row r="147" spans="1:13" x14ac:dyDescent="0.3">
      <c r="A147" t="s">
        <v>262</v>
      </c>
      <c r="B147" t="b">
        <v>0</v>
      </c>
      <c r="C147" t="s">
        <v>1056</v>
      </c>
      <c r="E147" t="s">
        <v>29</v>
      </c>
      <c r="F147" t="s">
        <v>29</v>
      </c>
      <c r="G147" t="s">
        <v>1898</v>
      </c>
      <c r="K147">
        <v>2023</v>
      </c>
      <c r="L147">
        <v>0</v>
      </c>
      <c r="M147" t="s">
        <v>1057</v>
      </c>
    </row>
    <row r="148" spans="1:13" x14ac:dyDescent="0.3">
      <c r="A148" t="s">
        <v>263</v>
      </c>
      <c r="B148" t="b">
        <v>1</v>
      </c>
      <c r="C148" t="s">
        <v>1059</v>
      </c>
      <c r="D148" t="b">
        <v>0</v>
      </c>
      <c r="E148" t="s">
        <v>1058</v>
      </c>
      <c r="F148" t="s">
        <v>29</v>
      </c>
      <c r="G148" t="s">
        <v>1061</v>
      </c>
      <c r="K148">
        <v>2023</v>
      </c>
      <c r="L148">
        <v>0</v>
      </c>
      <c r="M148" t="s">
        <v>1060</v>
      </c>
    </row>
    <row r="149" spans="1:13" x14ac:dyDescent="0.3">
      <c r="A149" t="s">
        <v>264</v>
      </c>
      <c r="B149" t="b">
        <v>1</v>
      </c>
      <c r="C149" t="s">
        <v>1182</v>
      </c>
      <c r="D149" t="b">
        <v>0</v>
      </c>
      <c r="E149" t="s">
        <v>1181</v>
      </c>
      <c r="F149" t="s">
        <v>29</v>
      </c>
      <c r="G149" t="s">
        <v>1184</v>
      </c>
      <c r="K149">
        <v>2022</v>
      </c>
      <c r="L149">
        <v>14</v>
      </c>
      <c r="M149" t="s">
        <v>1183</v>
      </c>
    </row>
    <row r="150" spans="1:13" x14ac:dyDescent="0.3">
      <c r="A150" t="s">
        <v>265</v>
      </c>
      <c r="B150" t="b">
        <v>0</v>
      </c>
      <c r="C150" t="s">
        <v>66</v>
      </c>
      <c r="E150" t="s">
        <v>29</v>
      </c>
      <c r="F150" t="s">
        <v>29</v>
      </c>
      <c r="G150" t="s">
        <v>1899</v>
      </c>
      <c r="K150">
        <v>2021</v>
      </c>
      <c r="L150">
        <v>0</v>
      </c>
      <c r="M150" t="s">
        <v>98</v>
      </c>
    </row>
    <row r="151" spans="1:13" x14ac:dyDescent="0.3">
      <c r="A151" t="s">
        <v>171</v>
      </c>
      <c r="B151" t="b">
        <v>1</v>
      </c>
      <c r="C151" s="29" t="s">
        <v>1191</v>
      </c>
      <c r="D151" t="b">
        <v>1</v>
      </c>
      <c r="E151" t="s">
        <v>1700</v>
      </c>
      <c r="F151" t="s">
        <v>1837</v>
      </c>
      <c r="G151" t="s">
        <v>1747</v>
      </c>
      <c r="H151" t="b">
        <v>1</v>
      </c>
      <c r="I151" t="b">
        <v>0</v>
      </c>
      <c r="J151" t="s">
        <v>2014</v>
      </c>
      <c r="K151">
        <v>2022</v>
      </c>
      <c r="L151">
        <v>3</v>
      </c>
      <c r="M151" t="s">
        <v>1785</v>
      </c>
    </row>
    <row r="152" spans="1:13" x14ac:dyDescent="0.3">
      <c r="A152" t="s">
        <v>267</v>
      </c>
      <c r="B152" t="b">
        <v>1</v>
      </c>
      <c r="C152" t="s">
        <v>473</v>
      </c>
      <c r="D152" t="b">
        <v>1</v>
      </c>
      <c r="E152" t="s">
        <v>1311</v>
      </c>
      <c r="F152" t="s">
        <v>1314</v>
      </c>
      <c r="G152" t="s">
        <v>1313</v>
      </c>
      <c r="H152" s="28" t="b">
        <v>0</v>
      </c>
      <c r="I152" s="28"/>
      <c r="J152" s="28"/>
      <c r="K152">
        <v>2021</v>
      </c>
      <c r="L152">
        <v>5</v>
      </c>
      <c r="M152" t="s">
        <v>1312</v>
      </c>
    </row>
    <row r="153" spans="1:13" x14ac:dyDescent="0.3">
      <c r="A153" t="s">
        <v>682</v>
      </c>
      <c r="B153" t="b">
        <v>0</v>
      </c>
      <c r="C153" t="s">
        <v>1063</v>
      </c>
      <c r="E153" t="s">
        <v>29</v>
      </c>
      <c r="F153" t="s">
        <v>29</v>
      </c>
      <c r="G153" t="s">
        <v>1900</v>
      </c>
      <c r="K153">
        <v>2023</v>
      </c>
      <c r="L153">
        <v>0</v>
      </c>
      <c r="M153" t="s">
        <v>1064</v>
      </c>
    </row>
    <row r="154" spans="1:13" x14ac:dyDescent="0.3">
      <c r="A154" t="s">
        <v>268</v>
      </c>
      <c r="B154" t="b">
        <v>1</v>
      </c>
      <c r="C154" t="s">
        <v>1186</v>
      </c>
      <c r="D154" t="b">
        <v>1</v>
      </c>
      <c r="E154" t="s">
        <v>1185</v>
      </c>
      <c r="F154" t="s">
        <v>1189</v>
      </c>
      <c r="G154" t="s">
        <v>1188</v>
      </c>
      <c r="H154" s="28" t="b">
        <v>0</v>
      </c>
      <c r="I154" s="28"/>
      <c r="J154" s="28"/>
      <c r="K154">
        <v>2022</v>
      </c>
      <c r="L154">
        <v>2</v>
      </c>
      <c r="M154" t="s">
        <v>1187</v>
      </c>
    </row>
    <row r="155" spans="1:13" x14ac:dyDescent="0.3">
      <c r="A155" t="s">
        <v>161</v>
      </c>
      <c r="B155" t="b">
        <v>1</v>
      </c>
      <c r="C155" s="29" t="s">
        <v>441</v>
      </c>
      <c r="D155" t="b">
        <v>1</v>
      </c>
      <c r="E155" t="s">
        <v>1686</v>
      </c>
      <c r="F155" t="s">
        <v>1823</v>
      </c>
      <c r="G155" t="s">
        <v>1737</v>
      </c>
      <c r="H155" t="b">
        <v>1</v>
      </c>
      <c r="I155" t="b">
        <v>1</v>
      </c>
      <c r="K155">
        <v>2023</v>
      </c>
      <c r="L155">
        <v>8</v>
      </c>
      <c r="M155" t="s">
        <v>1771</v>
      </c>
    </row>
    <row r="156" spans="1:13" x14ac:dyDescent="0.3">
      <c r="A156" t="s">
        <v>1943</v>
      </c>
      <c r="B156" t="b">
        <v>1</v>
      </c>
      <c r="C156" t="s">
        <v>529</v>
      </c>
      <c r="D156" t="b">
        <v>0</v>
      </c>
      <c r="E156" t="s">
        <v>1315</v>
      </c>
      <c r="F156" t="s">
        <v>544</v>
      </c>
      <c r="G156" t="s">
        <v>1317</v>
      </c>
      <c r="K156">
        <v>2022</v>
      </c>
      <c r="L156">
        <v>0</v>
      </c>
      <c r="M156" t="s">
        <v>1316</v>
      </c>
    </row>
    <row r="157" spans="1:13" x14ac:dyDescent="0.3">
      <c r="A157" t="s">
        <v>270</v>
      </c>
      <c r="B157" t="b">
        <v>1</v>
      </c>
      <c r="C157" t="s">
        <v>1201</v>
      </c>
      <c r="D157" t="b">
        <v>0</v>
      </c>
      <c r="E157" t="s">
        <v>1200</v>
      </c>
      <c r="F157" t="s">
        <v>1204</v>
      </c>
      <c r="G157" t="s">
        <v>1203</v>
      </c>
      <c r="K157">
        <v>2022</v>
      </c>
      <c r="L157">
        <v>2</v>
      </c>
      <c r="M157" t="s">
        <v>1202</v>
      </c>
    </row>
    <row r="158" spans="1:13" x14ac:dyDescent="0.3">
      <c r="A158" t="s">
        <v>271</v>
      </c>
      <c r="B158" t="b">
        <v>0</v>
      </c>
      <c r="C158" t="s">
        <v>64</v>
      </c>
      <c r="E158" t="s">
        <v>29</v>
      </c>
      <c r="F158" t="s">
        <v>29</v>
      </c>
      <c r="G158" t="s">
        <v>1901</v>
      </c>
      <c r="K158">
        <v>2022</v>
      </c>
      <c r="L158">
        <v>0</v>
      </c>
      <c r="M158" t="s">
        <v>95</v>
      </c>
    </row>
    <row r="159" spans="1:13" x14ac:dyDescent="0.3">
      <c r="A159" t="s">
        <v>683</v>
      </c>
      <c r="B159" t="b">
        <v>1</v>
      </c>
      <c r="C159" t="s">
        <v>469</v>
      </c>
      <c r="D159" t="b">
        <v>0</v>
      </c>
      <c r="E159" t="s">
        <v>1082</v>
      </c>
      <c r="F159" t="s">
        <v>539</v>
      </c>
      <c r="G159" t="s">
        <v>1084</v>
      </c>
      <c r="K159">
        <v>2022</v>
      </c>
      <c r="L159">
        <v>2</v>
      </c>
      <c r="M159" t="s">
        <v>1083</v>
      </c>
    </row>
    <row r="160" spans="1:13" x14ac:dyDescent="0.3">
      <c r="A160" t="s">
        <v>272</v>
      </c>
      <c r="B160" t="b">
        <v>1</v>
      </c>
      <c r="C160" t="s">
        <v>460</v>
      </c>
      <c r="D160" t="b">
        <v>0</v>
      </c>
      <c r="E160" t="s">
        <v>1318</v>
      </c>
      <c r="F160" t="s">
        <v>1321</v>
      </c>
      <c r="G160" t="s">
        <v>1320</v>
      </c>
      <c r="K160">
        <v>2022</v>
      </c>
      <c r="L160">
        <v>0</v>
      </c>
      <c r="M160" t="s">
        <v>1319</v>
      </c>
    </row>
    <row r="161" spans="1:13" x14ac:dyDescent="0.3">
      <c r="A161" t="s">
        <v>684</v>
      </c>
      <c r="B161" t="b">
        <v>1</v>
      </c>
      <c r="C161" t="s">
        <v>1323</v>
      </c>
      <c r="D161" t="b">
        <v>1</v>
      </c>
      <c r="E161" t="s">
        <v>1322</v>
      </c>
      <c r="F161" t="s">
        <v>1326</v>
      </c>
      <c r="G161" t="s">
        <v>1325</v>
      </c>
      <c r="H161" s="28" t="b">
        <v>0</v>
      </c>
      <c r="I161" s="28"/>
      <c r="J161" s="28"/>
      <c r="K161">
        <v>2022</v>
      </c>
      <c r="L161">
        <v>2</v>
      </c>
      <c r="M161" t="s">
        <v>1324</v>
      </c>
    </row>
    <row r="162" spans="1:13" x14ac:dyDescent="0.3">
      <c r="A162" t="s">
        <v>685</v>
      </c>
      <c r="B162" t="b">
        <v>1</v>
      </c>
      <c r="C162" t="s">
        <v>474</v>
      </c>
      <c r="D162" t="b">
        <v>0</v>
      </c>
      <c r="E162" t="s">
        <v>1205</v>
      </c>
      <c r="F162" t="s">
        <v>1208</v>
      </c>
      <c r="G162" t="s">
        <v>1207</v>
      </c>
      <c r="K162">
        <v>2022</v>
      </c>
      <c r="L162">
        <v>16</v>
      </c>
      <c r="M162" t="s">
        <v>1206</v>
      </c>
    </row>
    <row r="163" spans="1:13" x14ac:dyDescent="0.3">
      <c r="A163" t="s">
        <v>273</v>
      </c>
      <c r="B163" t="b">
        <v>1</v>
      </c>
      <c r="C163" t="s">
        <v>1086</v>
      </c>
      <c r="D163" t="b">
        <v>1</v>
      </c>
      <c r="E163" t="s">
        <v>1085</v>
      </c>
      <c r="F163" t="s">
        <v>1089</v>
      </c>
      <c r="G163" t="s">
        <v>1088</v>
      </c>
      <c r="H163" s="28" t="b">
        <v>0</v>
      </c>
      <c r="I163" s="28"/>
      <c r="J163" s="28"/>
      <c r="K163">
        <v>2023</v>
      </c>
      <c r="L163">
        <v>2</v>
      </c>
      <c r="M163" t="s">
        <v>1087</v>
      </c>
    </row>
    <row r="164" spans="1:13" x14ac:dyDescent="0.3">
      <c r="A164" t="s">
        <v>274</v>
      </c>
      <c r="B164" t="b">
        <v>0</v>
      </c>
      <c r="C164" t="s">
        <v>1327</v>
      </c>
      <c r="E164" t="s">
        <v>29</v>
      </c>
      <c r="F164" t="s">
        <v>29</v>
      </c>
      <c r="G164" t="s">
        <v>1329</v>
      </c>
      <c r="K164">
        <v>2022</v>
      </c>
      <c r="L164">
        <v>0</v>
      </c>
      <c r="M164" t="s">
        <v>1328</v>
      </c>
    </row>
    <row r="165" spans="1:13" x14ac:dyDescent="0.3">
      <c r="A165" t="s">
        <v>275</v>
      </c>
      <c r="B165" t="b">
        <v>0</v>
      </c>
      <c r="C165" t="s">
        <v>1330</v>
      </c>
      <c r="E165" t="s">
        <v>29</v>
      </c>
      <c r="F165" t="s">
        <v>29</v>
      </c>
      <c r="G165" t="s">
        <v>1332</v>
      </c>
      <c r="K165">
        <v>2022</v>
      </c>
      <c r="L165">
        <v>0</v>
      </c>
      <c r="M165" t="s">
        <v>1331</v>
      </c>
    </row>
    <row r="166" spans="1:13" x14ac:dyDescent="0.3">
      <c r="A166" t="s">
        <v>1944</v>
      </c>
      <c r="B166" t="b">
        <v>1</v>
      </c>
      <c r="C166" t="s">
        <v>1334</v>
      </c>
      <c r="D166" t="b">
        <v>1</v>
      </c>
      <c r="E166" t="s">
        <v>1333</v>
      </c>
      <c r="F166" t="s">
        <v>1337</v>
      </c>
      <c r="G166" t="s">
        <v>1336</v>
      </c>
      <c r="H166" t="b">
        <v>0</v>
      </c>
      <c r="K166">
        <v>2021</v>
      </c>
      <c r="L166">
        <v>0</v>
      </c>
      <c r="M166" t="s">
        <v>1335</v>
      </c>
    </row>
    <row r="167" spans="1:13" x14ac:dyDescent="0.3">
      <c r="A167" t="s">
        <v>276</v>
      </c>
      <c r="B167" t="b">
        <v>1</v>
      </c>
      <c r="C167" t="s">
        <v>1099</v>
      </c>
      <c r="D167" t="b">
        <v>0</v>
      </c>
      <c r="E167" t="s">
        <v>1098</v>
      </c>
      <c r="F167" t="s">
        <v>1102</v>
      </c>
      <c r="G167" t="s">
        <v>1101</v>
      </c>
      <c r="K167">
        <v>2023</v>
      </c>
      <c r="L167">
        <v>6</v>
      </c>
      <c r="M167" t="s">
        <v>1100</v>
      </c>
    </row>
    <row r="168" spans="1:13" x14ac:dyDescent="0.3">
      <c r="A168" t="s">
        <v>277</v>
      </c>
      <c r="B168" t="b">
        <v>1</v>
      </c>
      <c r="C168" t="s">
        <v>1210</v>
      </c>
      <c r="D168" t="b">
        <v>0</v>
      </c>
      <c r="E168" t="s">
        <v>1209</v>
      </c>
      <c r="F168" t="s">
        <v>1213</v>
      </c>
      <c r="G168" t="s">
        <v>1212</v>
      </c>
      <c r="K168">
        <v>2022</v>
      </c>
      <c r="L168">
        <v>8</v>
      </c>
      <c r="M168" t="s">
        <v>1211</v>
      </c>
    </row>
    <row r="169" spans="1:13" x14ac:dyDescent="0.3">
      <c r="A169" t="s">
        <v>166</v>
      </c>
      <c r="B169" t="b">
        <v>1</v>
      </c>
      <c r="C169" s="29" t="s">
        <v>1680</v>
      </c>
      <c r="D169" t="b">
        <v>1</v>
      </c>
      <c r="E169" t="s">
        <v>1701</v>
      </c>
      <c r="F169" t="s">
        <v>1838</v>
      </c>
      <c r="G169" t="s">
        <v>1748</v>
      </c>
      <c r="H169" t="b">
        <v>1</v>
      </c>
      <c r="I169" t="b">
        <v>1</v>
      </c>
      <c r="K169">
        <v>2021</v>
      </c>
      <c r="L169">
        <v>1</v>
      </c>
      <c r="M169" t="s">
        <v>1786</v>
      </c>
    </row>
    <row r="170" spans="1:13" x14ac:dyDescent="0.3">
      <c r="A170" t="s">
        <v>279</v>
      </c>
      <c r="B170" t="b">
        <v>1</v>
      </c>
      <c r="C170" t="s">
        <v>65</v>
      </c>
      <c r="D170" t="b">
        <v>0</v>
      </c>
      <c r="E170" t="s">
        <v>671</v>
      </c>
      <c r="F170" t="s">
        <v>147</v>
      </c>
      <c r="G170" t="s">
        <v>1902</v>
      </c>
      <c r="K170">
        <v>2021</v>
      </c>
      <c r="L170">
        <v>3</v>
      </c>
      <c r="M170" t="s">
        <v>96</v>
      </c>
    </row>
    <row r="171" spans="1:13" x14ac:dyDescent="0.3">
      <c r="A171" t="s">
        <v>1945</v>
      </c>
      <c r="B171" t="b">
        <v>1</v>
      </c>
      <c r="C171" t="s">
        <v>41</v>
      </c>
      <c r="D171" t="b">
        <v>0</v>
      </c>
      <c r="E171" t="s">
        <v>661</v>
      </c>
      <c r="F171" t="s">
        <v>139</v>
      </c>
      <c r="G171" t="s">
        <v>116</v>
      </c>
      <c r="K171">
        <v>2023</v>
      </c>
      <c r="L171">
        <v>0</v>
      </c>
      <c r="M171" t="s">
        <v>82</v>
      </c>
    </row>
    <row r="172" spans="1:13" x14ac:dyDescent="0.3">
      <c r="A172" t="s">
        <v>280</v>
      </c>
      <c r="B172" t="b">
        <v>1</v>
      </c>
      <c r="C172" t="s">
        <v>1220</v>
      </c>
      <c r="D172" t="b">
        <v>0</v>
      </c>
      <c r="E172" t="s">
        <v>1219</v>
      </c>
      <c r="F172" t="s">
        <v>1223</v>
      </c>
      <c r="G172" t="s">
        <v>1222</v>
      </c>
      <c r="K172">
        <v>2022</v>
      </c>
      <c r="L172">
        <v>9</v>
      </c>
      <c r="M172" t="s">
        <v>1221</v>
      </c>
    </row>
    <row r="173" spans="1:13" x14ac:dyDescent="0.3">
      <c r="A173" t="s">
        <v>686</v>
      </c>
      <c r="B173" t="b">
        <v>1</v>
      </c>
      <c r="C173" t="s">
        <v>498</v>
      </c>
      <c r="D173" t="b">
        <v>0</v>
      </c>
      <c r="E173" t="s">
        <v>1338</v>
      </c>
      <c r="F173" t="s">
        <v>1341</v>
      </c>
      <c r="G173" t="s">
        <v>1340</v>
      </c>
      <c r="K173">
        <v>2021</v>
      </c>
      <c r="L173">
        <v>6</v>
      </c>
      <c r="M173" t="s">
        <v>1339</v>
      </c>
    </row>
    <row r="174" spans="1:13" x14ac:dyDescent="0.3">
      <c r="A174" t="s">
        <v>687</v>
      </c>
      <c r="B174" t="b">
        <v>1</v>
      </c>
      <c r="C174" t="s">
        <v>517</v>
      </c>
      <c r="D174" t="b">
        <v>0</v>
      </c>
      <c r="E174" t="s">
        <v>1103</v>
      </c>
      <c r="F174" t="s">
        <v>542</v>
      </c>
      <c r="G174" t="s">
        <v>1105</v>
      </c>
      <c r="K174">
        <v>2023</v>
      </c>
      <c r="L174">
        <v>0</v>
      </c>
      <c r="M174" t="s">
        <v>1104</v>
      </c>
    </row>
    <row r="175" spans="1:13" x14ac:dyDescent="0.3">
      <c r="A175" t="s">
        <v>281</v>
      </c>
      <c r="B175" t="b">
        <v>1</v>
      </c>
      <c r="C175" t="s">
        <v>1225</v>
      </c>
      <c r="D175" t="b">
        <v>1</v>
      </c>
      <c r="E175" t="s">
        <v>1224</v>
      </c>
      <c r="F175" t="s">
        <v>29</v>
      </c>
      <c r="G175" t="s">
        <v>1227</v>
      </c>
      <c r="H175" s="28" t="b">
        <v>0</v>
      </c>
      <c r="I175" s="28"/>
      <c r="J175" s="28"/>
      <c r="K175">
        <v>2022</v>
      </c>
      <c r="L175">
        <v>1</v>
      </c>
      <c r="M175" t="s">
        <v>1226</v>
      </c>
    </row>
    <row r="176" spans="1:13" x14ac:dyDescent="0.3">
      <c r="A176" t="s">
        <v>282</v>
      </c>
      <c r="B176" t="b">
        <v>1</v>
      </c>
      <c r="C176" t="s">
        <v>451</v>
      </c>
      <c r="D176" t="b">
        <v>0</v>
      </c>
      <c r="E176" t="s">
        <v>1228</v>
      </c>
      <c r="F176" t="s">
        <v>29</v>
      </c>
      <c r="G176" t="s">
        <v>1230</v>
      </c>
      <c r="K176">
        <v>2022</v>
      </c>
      <c r="L176">
        <v>4</v>
      </c>
      <c r="M176" t="s">
        <v>1229</v>
      </c>
    </row>
    <row r="177" spans="1:13" x14ac:dyDescent="0.3">
      <c r="A177" t="s">
        <v>1946</v>
      </c>
      <c r="B177" t="b">
        <v>0</v>
      </c>
      <c r="C177" t="s">
        <v>1231</v>
      </c>
      <c r="E177" t="s">
        <v>29</v>
      </c>
      <c r="F177" t="s">
        <v>29</v>
      </c>
      <c r="G177" t="s">
        <v>1903</v>
      </c>
      <c r="K177">
        <v>2022</v>
      </c>
      <c r="L177">
        <v>0</v>
      </c>
      <c r="M177" t="s">
        <v>1232</v>
      </c>
    </row>
    <row r="178" spans="1:13" x14ac:dyDescent="0.3">
      <c r="A178" t="s">
        <v>283</v>
      </c>
      <c r="B178" t="b">
        <v>1</v>
      </c>
      <c r="C178" t="s">
        <v>1234</v>
      </c>
      <c r="D178" t="b">
        <v>0</v>
      </c>
      <c r="E178" t="s">
        <v>1233</v>
      </c>
      <c r="F178" t="s">
        <v>1237</v>
      </c>
      <c r="G178" t="s">
        <v>1236</v>
      </c>
      <c r="K178">
        <v>2022</v>
      </c>
      <c r="L178">
        <v>5</v>
      </c>
      <c r="M178" t="s">
        <v>1235</v>
      </c>
    </row>
    <row r="179" spans="1:13" x14ac:dyDescent="0.3">
      <c r="A179" t="s">
        <v>688</v>
      </c>
      <c r="B179" t="b">
        <v>1</v>
      </c>
      <c r="C179" t="s">
        <v>1343</v>
      </c>
      <c r="D179" t="b">
        <v>0</v>
      </c>
      <c r="E179" t="s">
        <v>1342</v>
      </c>
      <c r="F179" t="s">
        <v>1346</v>
      </c>
      <c r="G179" t="s">
        <v>1345</v>
      </c>
      <c r="K179">
        <v>2021</v>
      </c>
      <c r="L179">
        <v>2</v>
      </c>
      <c r="M179" t="s">
        <v>1344</v>
      </c>
    </row>
    <row r="180" spans="1:13" x14ac:dyDescent="0.3">
      <c r="A180" t="s">
        <v>1947</v>
      </c>
      <c r="B180" t="b">
        <v>0</v>
      </c>
      <c r="C180" t="s">
        <v>1238</v>
      </c>
      <c r="E180" t="s">
        <v>29</v>
      </c>
      <c r="F180" t="s">
        <v>29</v>
      </c>
      <c r="G180" t="s">
        <v>1240</v>
      </c>
      <c r="K180">
        <v>2022</v>
      </c>
      <c r="L180">
        <v>0</v>
      </c>
      <c r="M180" t="s">
        <v>1239</v>
      </c>
    </row>
    <row r="181" spans="1:13" x14ac:dyDescent="0.3">
      <c r="A181" t="s">
        <v>284</v>
      </c>
      <c r="B181" t="b">
        <v>1</v>
      </c>
      <c r="C181" t="s">
        <v>499</v>
      </c>
      <c r="D181" t="b">
        <v>0</v>
      </c>
      <c r="E181" t="s">
        <v>1241</v>
      </c>
      <c r="F181" t="s">
        <v>1244</v>
      </c>
      <c r="G181" t="s">
        <v>1243</v>
      </c>
      <c r="K181">
        <v>2022</v>
      </c>
      <c r="L181">
        <v>6</v>
      </c>
      <c r="M181" t="s">
        <v>1242</v>
      </c>
    </row>
    <row r="182" spans="1:13" x14ac:dyDescent="0.3">
      <c r="A182" t="s">
        <v>1948</v>
      </c>
      <c r="B182" t="b">
        <v>1</v>
      </c>
      <c r="C182" t="s">
        <v>1348</v>
      </c>
      <c r="D182" t="b">
        <v>0</v>
      </c>
      <c r="E182" t="s">
        <v>1347</v>
      </c>
      <c r="F182" t="s">
        <v>1351</v>
      </c>
      <c r="G182" t="s">
        <v>1350</v>
      </c>
      <c r="K182">
        <v>2021</v>
      </c>
      <c r="L182">
        <v>0</v>
      </c>
      <c r="M182" t="s">
        <v>1349</v>
      </c>
    </row>
    <row r="183" spans="1:13" x14ac:dyDescent="0.3">
      <c r="A183" t="s">
        <v>1949</v>
      </c>
      <c r="B183" t="b">
        <v>1</v>
      </c>
      <c r="C183" t="s">
        <v>1246</v>
      </c>
      <c r="D183" t="b">
        <v>0</v>
      </c>
      <c r="E183" t="s">
        <v>1245</v>
      </c>
      <c r="F183" t="s">
        <v>29</v>
      </c>
      <c r="G183" t="s">
        <v>1248</v>
      </c>
      <c r="K183">
        <v>2022</v>
      </c>
      <c r="L183">
        <v>11</v>
      </c>
      <c r="M183" t="s">
        <v>1247</v>
      </c>
    </row>
    <row r="184" spans="1:13" x14ac:dyDescent="0.3">
      <c r="A184" t="s">
        <v>285</v>
      </c>
      <c r="B184" t="b">
        <v>1</v>
      </c>
      <c r="C184" t="s">
        <v>448</v>
      </c>
      <c r="D184" t="b">
        <v>1</v>
      </c>
      <c r="E184" t="s">
        <v>1249</v>
      </c>
      <c r="F184" t="s">
        <v>1252</v>
      </c>
      <c r="G184" t="s">
        <v>1251</v>
      </c>
      <c r="H184" s="28" t="b">
        <v>0</v>
      </c>
      <c r="I184" s="28"/>
      <c r="J184" s="28"/>
      <c r="K184">
        <v>2022</v>
      </c>
      <c r="L184">
        <v>8</v>
      </c>
      <c r="M184" t="s">
        <v>1250</v>
      </c>
    </row>
    <row r="185" spans="1:13" x14ac:dyDescent="0.3">
      <c r="A185" t="s">
        <v>313</v>
      </c>
      <c r="B185" t="b">
        <v>1</v>
      </c>
      <c r="C185" s="29" t="s">
        <v>1460</v>
      </c>
      <c r="D185" t="b">
        <v>1</v>
      </c>
      <c r="E185" t="s">
        <v>1459</v>
      </c>
      <c r="F185" t="s">
        <v>1463</v>
      </c>
      <c r="G185" t="s">
        <v>1462</v>
      </c>
      <c r="H185" s="28" t="b">
        <v>1</v>
      </c>
      <c r="I185" t="b">
        <v>1</v>
      </c>
      <c r="J185" s="28"/>
      <c r="K185">
        <v>2021</v>
      </c>
      <c r="L185">
        <v>1</v>
      </c>
      <c r="M185" t="s">
        <v>1461</v>
      </c>
    </row>
    <row r="186" spans="1:13" x14ac:dyDescent="0.3">
      <c r="A186" t="s">
        <v>287</v>
      </c>
      <c r="B186" t="b">
        <v>1</v>
      </c>
      <c r="C186" t="s">
        <v>489</v>
      </c>
      <c r="D186" t="b">
        <v>1</v>
      </c>
      <c r="E186" t="s">
        <v>1256</v>
      </c>
      <c r="F186" t="s">
        <v>1259</v>
      </c>
      <c r="G186" t="s">
        <v>1258</v>
      </c>
      <c r="H186" s="28" t="b">
        <v>0</v>
      </c>
      <c r="I186" s="28"/>
      <c r="J186" s="28"/>
      <c r="K186">
        <v>2022</v>
      </c>
      <c r="L186">
        <v>7</v>
      </c>
      <c r="M186" t="s">
        <v>1257</v>
      </c>
    </row>
    <row r="187" spans="1:13" x14ac:dyDescent="0.3">
      <c r="A187" t="s">
        <v>288</v>
      </c>
      <c r="B187" t="b">
        <v>1</v>
      </c>
      <c r="C187" t="s">
        <v>22</v>
      </c>
      <c r="D187" t="b">
        <v>0</v>
      </c>
      <c r="E187" t="s">
        <v>667</v>
      </c>
      <c r="F187" t="s">
        <v>144</v>
      </c>
      <c r="G187" t="s">
        <v>123</v>
      </c>
      <c r="K187">
        <v>2022</v>
      </c>
      <c r="L187">
        <v>6</v>
      </c>
      <c r="M187" t="s">
        <v>90</v>
      </c>
    </row>
    <row r="188" spans="1:13" x14ac:dyDescent="0.3">
      <c r="A188" t="s">
        <v>1950</v>
      </c>
      <c r="B188" t="b">
        <v>1</v>
      </c>
      <c r="C188" t="s">
        <v>1353</v>
      </c>
      <c r="D188" t="b">
        <v>0</v>
      </c>
      <c r="E188" t="s">
        <v>1352</v>
      </c>
      <c r="F188" t="s">
        <v>1356</v>
      </c>
      <c r="G188" t="s">
        <v>1355</v>
      </c>
      <c r="K188">
        <v>2021</v>
      </c>
      <c r="L188">
        <v>1</v>
      </c>
      <c r="M188" t="s">
        <v>1354</v>
      </c>
    </row>
    <row r="189" spans="1:13" x14ac:dyDescent="0.3">
      <c r="A189" t="s">
        <v>689</v>
      </c>
      <c r="B189" t="b">
        <v>1</v>
      </c>
      <c r="C189" t="s">
        <v>490</v>
      </c>
      <c r="D189" t="b">
        <v>0</v>
      </c>
      <c r="E189" t="s">
        <v>1357</v>
      </c>
      <c r="F189" t="s">
        <v>1360</v>
      </c>
      <c r="G189" t="s">
        <v>1359</v>
      </c>
      <c r="K189">
        <v>2021</v>
      </c>
      <c r="L189">
        <v>14</v>
      </c>
      <c r="M189" t="s">
        <v>1358</v>
      </c>
    </row>
    <row r="190" spans="1:13" x14ac:dyDescent="0.3">
      <c r="A190" t="s">
        <v>289</v>
      </c>
      <c r="B190" t="b">
        <v>1</v>
      </c>
      <c r="C190" t="s">
        <v>475</v>
      </c>
      <c r="D190" t="b">
        <v>0</v>
      </c>
      <c r="E190" t="s">
        <v>1265</v>
      </c>
      <c r="F190" t="s">
        <v>1268</v>
      </c>
      <c r="G190" t="s">
        <v>1267</v>
      </c>
      <c r="K190">
        <v>2022</v>
      </c>
      <c r="L190">
        <v>34</v>
      </c>
      <c r="M190" t="s">
        <v>1266</v>
      </c>
    </row>
    <row r="191" spans="1:13" x14ac:dyDescent="0.3">
      <c r="A191" t="s">
        <v>1951</v>
      </c>
      <c r="B191" t="b">
        <v>1</v>
      </c>
      <c r="C191" t="s">
        <v>462</v>
      </c>
      <c r="D191" t="b">
        <v>0</v>
      </c>
      <c r="E191" t="s">
        <v>1269</v>
      </c>
      <c r="F191" t="s">
        <v>29</v>
      </c>
      <c r="G191" t="s">
        <v>1271</v>
      </c>
      <c r="K191">
        <v>2022</v>
      </c>
      <c r="L191">
        <v>6</v>
      </c>
      <c r="M191" t="s">
        <v>1270</v>
      </c>
    </row>
    <row r="192" spans="1:13" x14ac:dyDescent="0.3">
      <c r="A192" t="s">
        <v>690</v>
      </c>
      <c r="B192" t="b">
        <v>0</v>
      </c>
      <c r="C192" t="s">
        <v>1115</v>
      </c>
      <c r="E192" t="s">
        <v>29</v>
      </c>
      <c r="F192" t="s">
        <v>29</v>
      </c>
      <c r="G192" t="s">
        <v>1117</v>
      </c>
      <c r="K192">
        <v>2023</v>
      </c>
      <c r="L192">
        <v>0</v>
      </c>
      <c r="M192" t="s">
        <v>1116</v>
      </c>
    </row>
    <row r="193" spans="1:13" x14ac:dyDescent="0.3">
      <c r="A193" t="s">
        <v>290</v>
      </c>
      <c r="B193" t="b">
        <v>1</v>
      </c>
      <c r="C193" t="s">
        <v>1366</v>
      </c>
      <c r="D193" t="b">
        <v>0</v>
      </c>
      <c r="E193" t="s">
        <v>1365</v>
      </c>
      <c r="F193" t="s">
        <v>1368</v>
      </c>
      <c r="G193" t="s">
        <v>1905</v>
      </c>
      <c r="K193">
        <v>2021</v>
      </c>
      <c r="L193">
        <v>16</v>
      </c>
      <c r="M193" t="s">
        <v>1367</v>
      </c>
    </row>
    <row r="194" spans="1:13" x14ac:dyDescent="0.3">
      <c r="A194" t="s">
        <v>691</v>
      </c>
      <c r="B194" t="b">
        <v>1</v>
      </c>
      <c r="C194" t="s">
        <v>1119</v>
      </c>
      <c r="D194" t="b">
        <v>1</v>
      </c>
      <c r="E194" t="s">
        <v>1118</v>
      </c>
      <c r="F194" t="s">
        <v>29</v>
      </c>
      <c r="G194" t="s">
        <v>1121</v>
      </c>
      <c r="H194" t="b">
        <v>0</v>
      </c>
      <c r="K194">
        <v>2023</v>
      </c>
      <c r="L194">
        <v>0</v>
      </c>
      <c r="M194" t="s">
        <v>1120</v>
      </c>
    </row>
    <row r="195" spans="1:13" x14ac:dyDescent="0.3">
      <c r="A195" t="s">
        <v>291</v>
      </c>
      <c r="B195" t="b">
        <v>1</v>
      </c>
      <c r="C195" t="s">
        <v>27</v>
      </c>
      <c r="D195" t="b">
        <v>0</v>
      </c>
      <c r="E195" t="s">
        <v>668</v>
      </c>
      <c r="F195" t="s">
        <v>145</v>
      </c>
      <c r="G195" t="s">
        <v>1906</v>
      </c>
      <c r="K195">
        <v>2022</v>
      </c>
      <c r="L195">
        <v>1</v>
      </c>
      <c r="M195" t="s">
        <v>91</v>
      </c>
    </row>
    <row r="196" spans="1:13" x14ac:dyDescent="0.3">
      <c r="A196" t="s">
        <v>692</v>
      </c>
      <c r="B196" t="b">
        <v>1</v>
      </c>
      <c r="C196" t="s">
        <v>1370</v>
      </c>
      <c r="D196" t="b">
        <v>0</v>
      </c>
      <c r="E196" t="s">
        <v>1369</v>
      </c>
      <c r="F196" t="s">
        <v>1373</v>
      </c>
      <c r="G196" t="s">
        <v>1372</v>
      </c>
      <c r="K196">
        <v>2022</v>
      </c>
      <c r="L196">
        <v>6</v>
      </c>
      <c r="M196" t="s">
        <v>1371</v>
      </c>
    </row>
    <row r="197" spans="1:13" x14ac:dyDescent="0.3">
      <c r="A197" t="s">
        <v>693</v>
      </c>
      <c r="B197" t="b">
        <v>1</v>
      </c>
      <c r="C197" t="s">
        <v>42</v>
      </c>
      <c r="D197" t="b">
        <v>0</v>
      </c>
      <c r="E197" t="s">
        <v>665</v>
      </c>
      <c r="F197" t="s">
        <v>142</v>
      </c>
      <c r="G197" t="s">
        <v>121</v>
      </c>
      <c r="K197">
        <v>2023</v>
      </c>
      <c r="L197">
        <v>0</v>
      </c>
      <c r="M197" t="s">
        <v>88</v>
      </c>
    </row>
    <row r="198" spans="1:13" x14ac:dyDescent="0.3">
      <c r="A198" t="s">
        <v>694</v>
      </c>
      <c r="B198" t="b">
        <v>0</v>
      </c>
      <c r="C198" t="s">
        <v>62</v>
      </c>
      <c r="E198" t="s">
        <v>29</v>
      </c>
      <c r="F198" t="s">
        <v>29</v>
      </c>
      <c r="G198" t="s">
        <v>124</v>
      </c>
      <c r="K198">
        <v>2022</v>
      </c>
      <c r="L198">
        <v>0</v>
      </c>
      <c r="M198" t="s">
        <v>92</v>
      </c>
    </row>
    <row r="199" spans="1:13" x14ac:dyDescent="0.3">
      <c r="A199" t="s">
        <v>292</v>
      </c>
      <c r="B199" t="b">
        <v>1</v>
      </c>
      <c r="C199" t="s">
        <v>493</v>
      </c>
      <c r="D199" t="b">
        <v>0</v>
      </c>
      <c r="E199" t="s">
        <v>1272</v>
      </c>
      <c r="F199" t="s">
        <v>29</v>
      </c>
      <c r="G199" t="s">
        <v>1274</v>
      </c>
      <c r="K199">
        <v>2022</v>
      </c>
      <c r="L199">
        <v>1</v>
      </c>
      <c r="M199" t="s">
        <v>1273</v>
      </c>
    </row>
    <row r="200" spans="1:13" x14ac:dyDescent="0.3">
      <c r="A200" t="s">
        <v>695</v>
      </c>
      <c r="B200" t="b">
        <v>1</v>
      </c>
      <c r="C200" t="s">
        <v>1130</v>
      </c>
      <c r="D200" t="b">
        <v>0</v>
      </c>
      <c r="E200" t="s">
        <v>1129</v>
      </c>
      <c r="F200" t="s">
        <v>1133</v>
      </c>
      <c r="G200" t="s">
        <v>1132</v>
      </c>
      <c r="K200">
        <v>2023</v>
      </c>
      <c r="L200">
        <v>0</v>
      </c>
      <c r="M200" t="s">
        <v>1131</v>
      </c>
    </row>
    <row r="201" spans="1:13" x14ac:dyDescent="0.3">
      <c r="A201" t="s">
        <v>293</v>
      </c>
      <c r="B201" t="b">
        <v>0</v>
      </c>
      <c r="C201" t="s">
        <v>1379</v>
      </c>
      <c r="E201" t="s">
        <v>29</v>
      </c>
      <c r="F201" t="s">
        <v>29</v>
      </c>
      <c r="G201" t="s">
        <v>1907</v>
      </c>
      <c r="K201">
        <v>2022</v>
      </c>
      <c r="L201">
        <v>0</v>
      </c>
      <c r="M201" t="s">
        <v>1380</v>
      </c>
    </row>
    <row r="202" spans="1:13" x14ac:dyDescent="0.3">
      <c r="A202" t="s">
        <v>1952</v>
      </c>
      <c r="B202" t="b">
        <v>1</v>
      </c>
      <c r="C202" t="s">
        <v>453</v>
      </c>
      <c r="D202" t="b">
        <v>0</v>
      </c>
      <c r="E202" t="s">
        <v>1381</v>
      </c>
      <c r="F202" t="s">
        <v>1384</v>
      </c>
      <c r="G202" t="s">
        <v>1383</v>
      </c>
      <c r="K202">
        <v>2021</v>
      </c>
      <c r="L202">
        <v>11</v>
      </c>
      <c r="M202" t="s">
        <v>1382</v>
      </c>
    </row>
    <row r="203" spans="1:13" x14ac:dyDescent="0.3">
      <c r="A203" t="s">
        <v>294</v>
      </c>
      <c r="B203" t="b">
        <v>1</v>
      </c>
      <c r="C203" t="s">
        <v>1275</v>
      </c>
      <c r="D203" t="b">
        <v>1</v>
      </c>
      <c r="E203" t="s">
        <v>1046</v>
      </c>
      <c r="F203" t="s">
        <v>1278</v>
      </c>
      <c r="G203" t="s">
        <v>1277</v>
      </c>
      <c r="H203" s="28" t="b">
        <v>0</v>
      </c>
      <c r="I203" s="28"/>
      <c r="J203" s="28"/>
      <c r="K203">
        <v>2022</v>
      </c>
      <c r="L203">
        <v>5</v>
      </c>
      <c r="M203" t="s">
        <v>1276</v>
      </c>
    </row>
    <row r="204" spans="1:13" x14ac:dyDescent="0.3">
      <c r="A204" t="s">
        <v>295</v>
      </c>
      <c r="B204" t="b">
        <v>1</v>
      </c>
      <c r="C204" t="s">
        <v>478</v>
      </c>
      <c r="D204" t="b">
        <v>0</v>
      </c>
      <c r="E204" t="s">
        <v>1279</v>
      </c>
      <c r="F204" t="s">
        <v>1282</v>
      </c>
      <c r="G204" t="s">
        <v>1281</v>
      </c>
      <c r="K204">
        <v>2022</v>
      </c>
      <c r="L204">
        <v>5</v>
      </c>
      <c r="M204" t="s">
        <v>1280</v>
      </c>
    </row>
    <row r="205" spans="1:13" x14ac:dyDescent="0.3">
      <c r="A205" t="s">
        <v>254</v>
      </c>
      <c r="B205" t="b">
        <v>1</v>
      </c>
      <c r="C205" s="29" t="s">
        <v>875</v>
      </c>
      <c r="D205" t="b">
        <v>1</v>
      </c>
      <c r="E205" t="s">
        <v>874</v>
      </c>
      <c r="F205" t="s">
        <v>536</v>
      </c>
      <c r="G205" t="s">
        <v>877</v>
      </c>
      <c r="H205" t="b">
        <v>1</v>
      </c>
      <c r="I205" t="b">
        <v>1</v>
      </c>
      <c r="K205">
        <v>2024</v>
      </c>
      <c r="L205">
        <v>0</v>
      </c>
      <c r="M205" t="s">
        <v>876</v>
      </c>
    </row>
    <row r="206" spans="1:13" x14ac:dyDescent="0.3">
      <c r="A206" t="s">
        <v>297</v>
      </c>
      <c r="B206" t="b">
        <v>1</v>
      </c>
      <c r="C206" t="s">
        <v>1143</v>
      </c>
      <c r="D206" t="b">
        <v>1</v>
      </c>
      <c r="E206" t="s">
        <v>1142</v>
      </c>
      <c r="F206" t="s">
        <v>29</v>
      </c>
      <c r="G206" t="s">
        <v>1908</v>
      </c>
      <c r="H206" s="28" t="b">
        <v>0</v>
      </c>
      <c r="I206" s="28"/>
      <c r="J206" s="28"/>
      <c r="K206">
        <v>2022</v>
      </c>
      <c r="L206">
        <v>18</v>
      </c>
      <c r="M206" t="s">
        <v>1144</v>
      </c>
    </row>
    <row r="207" spans="1:13" x14ac:dyDescent="0.3">
      <c r="A207" t="s">
        <v>298</v>
      </c>
      <c r="B207" t="b">
        <v>1</v>
      </c>
      <c r="C207" t="s">
        <v>483</v>
      </c>
      <c r="D207" t="b">
        <v>0</v>
      </c>
      <c r="E207" t="s">
        <v>1146</v>
      </c>
      <c r="F207" t="s">
        <v>1149</v>
      </c>
      <c r="G207" t="s">
        <v>1148</v>
      </c>
      <c r="K207">
        <v>2023</v>
      </c>
      <c r="L207">
        <v>3</v>
      </c>
      <c r="M207" t="s">
        <v>1147</v>
      </c>
    </row>
    <row r="208" spans="1:13" x14ac:dyDescent="0.3">
      <c r="A208" t="s">
        <v>696</v>
      </c>
      <c r="B208" t="b">
        <v>1</v>
      </c>
      <c r="C208" t="s">
        <v>479</v>
      </c>
      <c r="D208" t="b">
        <v>0</v>
      </c>
      <c r="E208" t="s">
        <v>1283</v>
      </c>
      <c r="F208" t="s">
        <v>1286</v>
      </c>
      <c r="G208" t="s">
        <v>1285</v>
      </c>
      <c r="K208">
        <v>2022</v>
      </c>
      <c r="L208">
        <v>0</v>
      </c>
      <c r="M208" t="s">
        <v>1284</v>
      </c>
    </row>
    <row r="209" spans="1:13" x14ac:dyDescent="0.3">
      <c r="A209" t="s">
        <v>299</v>
      </c>
      <c r="B209" t="b">
        <v>1</v>
      </c>
      <c r="C209" t="s">
        <v>1288</v>
      </c>
      <c r="D209" t="b">
        <v>1</v>
      </c>
      <c r="E209" t="s">
        <v>1287</v>
      </c>
      <c r="F209" t="s">
        <v>1291</v>
      </c>
      <c r="G209" t="s">
        <v>1290</v>
      </c>
      <c r="H209" t="b">
        <v>0</v>
      </c>
      <c r="K209">
        <v>2022</v>
      </c>
      <c r="L209">
        <v>0</v>
      </c>
      <c r="M209" t="s">
        <v>1289</v>
      </c>
    </row>
    <row r="210" spans="1:13" x14ac:dyDescent="0.3">
      <c r="A210" t="s">
        <v>300</v>
      </c>
      <c r="B210" t="b">
        <v>1</v>
      </c>
      <c r="C210" t="s">
        <v>1386</v>
      </c>
      <c r="D210" t="b">
        <v>0</v>
      </c>
      <c r="E210" t="s">
        <v>1385</v>
      </c>
      <c r="F210" t="s">
        <v>29</v>
      </c>
      <c r="G210" t="s">
        <v>1388</v>
      </c>
      <c r="K210">
        <v>2021</v>
      </c>
      <c r="L210">
        <v>0</v>
      </c>
      <c r="M210" t="s">
        <v>1387</v>
      </c>
    </row>
    <row r="211" spans="1:13" x14ac:dyDescent="0.3">
      <c r="A211" t="s">
        <v>301</v>
      </c>
      <c r="B211" t="b">
        <v>1</v>
      </c>
      <c r="C211" t="s">
        <v>1151</v>
      </c>
      <c r="D211" t="b">
        <v>0</v>
      </c>
      <c r="E211" t="s">
        <v>1150</v>
      </c>
      <c r="F211" t="s">
        <v>1154</v>
      </c>
      <c r="G211" t="s">
        <v>1153</v>
      </c>
      <c r="K211">
        <v>2023</v>
      </c>
      <c r="L211">
        <v>0</v>
      </c>
      <c r="M211" t="s">
        <v>1152</v>
      </c>
    </row>
    <row r="212" spans="1:13" x14ac:dyDescent="0.3">
      <c r="A212" t="s">
        <v>302</v>
      </c>
      <c r="B212" t="b">
        <v>1</v>
      </c>
      <c r="C212" t="s">
        <v>1390</v>
      </c>
      <c r="D212" t="b">
        <v>0</v>
      </c>
      <c r="E212" t="s">
        <v>1389</v>
      </c>
      <c r="F212" t="s">
        <v>1393</v>
      </c>
      <c r="G212" t="s">
        <v>1392</v>
      </c>
      <c r="K212">
        <v>2022</v>
      </c>
      <c r="L212">
        <v>1</v>
      </c>
      <c r="M212" t="s">
        <v>1391</v>
      </c>
    </row>
    <row r="213" spans="1:13" x14ac:dyDescent="0.3">
      <c r="A213" t="s">
        <v>303</v>
      </c>
      <c r="B213" t="b">
        <v>1</v>
      </c>
      <c r="C213" t="s">
        <v>1156</v>
      </c>
      <c r="D213" t="b">
        <v>0</v>
      </c>
      <c r="E213" t="s">
        <v>1155</v>
      </c>
      <c r="F213" t="s">
        <v>1159</v>
      </c>
      <c r="G213" t="s">
        <v>1158</v>
      </c>
      <c r="K213">
        <v>2023</v>
      </c>
      <c r="L213">
        <v>0</v>
      </c>
      <c r="M213" t="s">
        <v>1157</v>
      </c>
    </row>
    <row r="214" spans="1:13" x14ac:dyDescent="0.3">
      <c r="A214" t="s">
        <v>304</v>
      </c>
      <c r="B214" t="b">
        <v>1</v>
      </c>
      <c r="C214" t="s">
        <v>1293</v>
      </c>
      <c r="D214" t="b">
        <v>0</v>
      </c>
      <c r="E214" t="s">
        <v>1292</v>
      </c>
      <c r="F214" t="s">
        <v>29</v>
      </c>
      <c r="G214" t="s">
        <v>1295</v>
      </c>
      <c r="K214">
        <v>2022</v>
      </c>
      <c r="L214">
        <v>4</v>
      </c>
      <c r="M214" t="s">
        <v>1294</v>
      </c>
    </row>
    <row r="215" spans="1:13" x14ac:dyDescent="0.3">
      <c r="A215" t="s">
        <v>1953</v>
      </c>
      <c r="B215" t="b">
        <v>1</v>
      </c>
      <c r="C215" t="s">
        <v>1395</v>
      </c>
      <c r="D215" t="b">
        <v>0</v>
      </c>
      <c r="E215" t="s">
        <v>1394</v>
      </c>
      <c r="F215" t="s">
        <v>1398</v>
      </c>
      <c r="G215" t="s">
        <v>1397</v>
      </c>
      <c r="K215">
        <v>2022</v>
      </c>
      <c r="L215">
        <v>0</v>
      </c>
      <c r="M215" t="s">
        <v>1396</v>
      </c>
    </row>
    <row r="216" spans="1:13" x14ac:dyDescent="0.3">
      <c r="A216" t="s">
        <v>697</v>
      </c>
      <c r="B216" t="b">
        <v>0</v>
      </c>
      <c r="C216" t="s">
        <v>1296</v>
      </c>
      <c r="E216" t="s">
        <v>29</v>
      </c>
      <c r="F216" t="s">
        <v>29</v>
      </c>
      <c r="G216" t="s">
        <v>1298</v>
      </c>
      <c r="K216">
        <v>2022</v>
      </c>
      <c r="L216">
        <v>0</v>
      </c>
      <c r="M216" t="s">
        <v>1297</v>
      </c>
    </row>
    <row r="217" spans="1:13" x14ac:dyDescent="0.3">
      <c r="A217" t="s">
        <v>698</v>
      </c>
      <c r="B217" t="b">
        <v>1</v>
      </c>
      <c r="C217" t="s">
        <v>1161</v>
      </c>
      <c r="D217" t="b">
        <v>0</v>
      </c>
      <c r="E217" t="s">
        <v>1160</v>
      </c>
      <c r="F217" t="s">
        <v>1164</v>
      </c>
      <c r="G217" t="s">
        <v>1163</v>
      </c>
      <c r="K217">
        <v>2023</v>
      </c>
      <c r="L217">
        <v>2</v>
      </c>
      <c r="M217" t="s">
        <v>1162</v>
      </c>
    </row>
    <row r="218" spans="1:13" x14ac:dyDescent="0.3">
      <c r="A218" t="s">
        <v>305</v>
      </c>
      <c r="B218" t="b">
        <v>0</v>
      </c>
      <c r="C218" t="s">
        <v>1532</v>
      </c>
      <c r="E218" t="s">
        <v>29</v>
      </c>
      <c r="F218" t="s">
        <v>29</v>
      </c>
      <c r="G218" t="s">
        <v>1534</v>
      </c>
      <c r="K218">
        <v>2020</v>
      </c>
      <c r="L218">
        <v>0</v>
      </c>
      <c r="M218" t="s">
        <v>1533</v>
      </c>
    </row>
    <row r="219" spans="1:13" x14ac:dyDescent="0.3">
      <c r="A219" t="s">
        <v>306</v>
      </c>
      <c r="B219" t="b">
        <v>1</v>
      </c>
      <c r="C219" t="s">
        <v>494</v>
      </c>
      <c r="D219" t="b">
        <v>0</v>
      </c>
      <c r="E219" t="s">
        <v>1452</v>
      </c>
      <c r="F219" t="s">
        <v>29</v>
      </c>
      <c r="G219" t="s">
        <v>1454</v>
      </c>
      <c r="K219">
        <v>2021</v>
      </c>
      <c r="L219">
        <v>18</v>
      </c>
      <c r="M219" t="s">
        <v>1453</v>
      </c>
    </row>
    <row r="220" spans="1:13" x14ac:dyDescent="0.3">
      <c r="A220" t="s">
        <v>231</v>
      </c>
      <c r="B220" t="b">
        <v>1</v>
      </c>
      <c r="C220" s="29" t="s">
        <v>432</v>
      </c>
      <c r="D220" t="b">
        <v>1</v>
      </c>
      <c r="E220" t="s">
        <v>945</v>
      </c>
      <c r="F220" t="s">
        <v>948</v>
      </c>
      <c r="G220" t="s">
        <v>947</v>
      </c>
      <c r="H220" s="27" t="b">
        <v>1</v>
      </c>
      <c r="I220" t="b">
        <v>0</v>
      </c>
      <c r="J220" t="s">
        <v>1980</v>
      </c>
      <c r="K220">
        <v>2023</v>
      </c>
      <c r="L220">
        <v>15</v>
      </c>
      <c r="M220" t="s">
        <v>946</v>
      </c>
    </row>
    <row r="221" spans="1:13" x14ac:dyDescent="0.3">
      <c r="A221" t="s">
        <v>1954</v>
      </c>
      <c r="B221" t="b">
        <v>0</v>
      </c>
      <c r="C221" t="s">
        <v>68</v>
      </c>
      <c r="E221" t="s">
        <v>29</v>
      </c>
      <c r="F221" t="s">
        <v>29</v>
      </c>
      <c r="G221" t="s">
        <v>130</v>
      </c>
      <c r="K221">
        <v>2020</v>
      </c>
      <c r="L221">
        <v>0</v>
      </c>
      <c r="M221" t="s">
        <v>102</v>
      </c>
    </row>
    <row r="222" spans="1:13" x14ac:dyDescent="0.3">
      <c r="A222" t="s">
        <v>1955</v>
      </c>
      <c r="B222" t="b">
        <v>1</v>
      </c>
      <c r="C222" t="s">
        <v>1633</v>
      </c>
      <c r="D222" t="b">
        <v>0</v>
      </c>
      <c r="E222" t="s">
        <v>1632</v>
      </c>
      <c r="F222" t="s">
        <v>1636</v>
      </c>
      <c r="G222" t="s">
        <v>1635</v>
      </c>
      <c r="K222">
        <v>2020</v>
      </c>
      <c r="L222">
        <v>8</v>
      </c>
      <c r="M222" t="s">
        <v>1634</v>
      </c>
    </row>
    <row r="223" spans="1:13" x14ac:dyDescent="0.3">
      <c r="A223" t="s">
        <v>308</v>
      </c>
      <c r="B223" t="b">
        <v>1</v>
      </c>
      <c r="C223" t="s">
        <v>21</v>
      </c>
      <c r="D223" t="b">
        <v>0</v>
      </c>
      <c r="E223" t="s">
        <v>673</v>
      </c>
      <c r="F223" t="s">
        <v>149</v>
      </c>
      <c r="G223" t="s">
        <v>128</v>
      </c>
      <c r="K223">
        <v>2020</v>
      </c>
      <c r="L223">
        <v>19</v>
      </c>
      <c r="M223" t="s">
        <v>100</v>
      </c>
    </row>
    <row r="224" spans="1:13" x14ac:dyDescent="0.3">
      <c r="A224" t="s">
        <v>309</v>
      </c>
      <c r="B224" t="b">
        <v>0</v>
      </c>
      <c r="C224" t="s">
        <v>69</v>
      </c>
      <c r="E224" t="s">
        <v>29</v>
      </c>
      <c r="F224" t="s">
        <v>29</v>
      </c>
      <c r="G224" t="s">
        <v>131</v>
      </c>
      <c r="K224">
        <v>2020</v>
      </c>
      <c r="L224">
        <v>0</v>
      </c>
      <c r="M224" t="s">
        <v>103</v>
      </c>
    </row>
    <row r="225" spans="1:13" x14ac:dyDescent="0.3">
      <c r="A225" t="s">
        <v>699</v>
      </c>
      <c r="B225" t="b">
        <v>1</v>
      </c>
      <c r="C225" t="s">
        <v>1602</v>
      </c>
      <c r="D225" t="b">
        <v>0</v>
      </c>
      <c r="E225" t="s">
        <v>1601</v>
      </c>
      <c r="F225" t="s">
        <v>1604</v>
      </c>
      <c r="G225" t="s">
        <v>1910</v>
      </c>
      <c r="K225">
        <v>2020</v>
      </c>
      <c r="L225">
        <v>18</v>
      </c>
      <c r="M225" t="s">
        <v>1603</v>
      </c>
    </row>
    <row r="226" spans="1:13" x14ac:dyDescent="0.3">
      <c r="A226" t="s">
        <v>310</v>
      </c>
      <c r="B226" t="b">
        <v>0</v>
      </c>
      <c r="C226" t="s">
        <v>1652</v>
      </c>
      <c r="E226" t="s">
        <v>29</v>
      </c>
      <c r="F226" t="s">
        <v>29</v>
      </c>
      <c r="G226" t="s">
        <v>1654</v>
      </c>
      <c r="K226">
        <v>2020</v>
      </c>
      <c r="L226">
        <v>0</v>
      </c>
      <c r="M226" t="s">
        <v>1653</v>
      </c>
    </row>
    <row r="227" spans="1:13" x14ac:dyDescent="0.3">
      <c r="A227" t="s">
        <v>1956</v>
      </c>
      <c r="B227" t="b">
        <v>1</v>
      </c>
      <c r="C227" t="s">
        <v>1403</v>
      </c>
      <c r="D227" t="b">
        <v>0</v>
      </c>
      <c r="E227" t="s">
        <v>1402</v>
      </c>
      <c r="F227" t="s">
        <v>1406</v>
      </c>
      <c r="G227" t="s">
        <v>1405</v>
      </c>
      <c r="K227">
        <v>2020</v>
      </c>
      <c r="L227">
        <v>3</v>
      </c>
      <c r="M227" t="s">
        <v>1404</v>
      </c>
    </row>
    <row r="228" spans="1:13" x14ac:dyDescent="0.3">
      <c r="A228" t="s">
        <v>311</v>
      </c>
      <c r="B228" t="b">
        <v>1</v>
      </c>
      <c r="C228" t="s">
        <v>1408</v>
      </c>
      <c r="D228" t="b">
        <v>1</v>
      </c>
      <c r="E228" t="s">
        <v>1407</v>
      </c>
      <c r="F228" t="s">
        <v>1411</v>
      </c>
      <c r="G228" t="s">
        <v>1410</v>
      </c>
      <c r="H228" s="28" t="b">
        <v>0</v>
      </c>
      <c r="I228" s="28"/>
      <c r="J228" s="28"/>
      <c r="K228">
        <v>2020</v>
      </c>
      <c r="L228">
        <v>10</v>
      </c>
      <c r="M228" t="s">
        <v>1409</v>
      </c>
    </row>
    <row r="229" spans="1:13" x14ac:dyDescent="0.3">
      <c r="A229" t="s">
        <v>1957</v>
      </c>
      <c r="B229" t="b">
        <v>1</v>
      </c>
      <c r="C229" t="s">
        <v>504</v>
      </c>
      <c r="D229" t="b">
        <v>0</v>
      </c>
      <c r="E229" t="s">
        <v>1552</v>
      </c>
      <c r="F229" t="s">
        <v>1555</v>
      </c>
      <c r="G229" t="s">
        <v>1554</v>
      </c>
      <c r="K229">
        <v>2020</v>
      </c>
      <c r="L229">
        <v>37</v>
      </c>
      <c r="M229" t="s">
        <v>1553</v>
      </c>
    </row>
    <row r="230" spans="1:13" x14ac:dyDescent="0.3">
      <c r="A230" t="s">
        <v>1936</v>
      </c>
      <c r="B230" t="b">
        <v>1</v>
      </c>
      <c r="C230" s="29" t="s">
        <v>63</v>
      </c>
      <c r="D230" t="b">
        <v>1</v>
      </c>
      <c r="E230" t="s">
        <v>670</v>
      </c>
      <c r="F230" t="s">
        <v>146</v>
      </c>
      <c r="G230" t="s">
        <v>126</v>
      </c>
      <c r="H230" s="27" t="b">
        <v>1</v>
      </c>
      <c r="I230" t="b">
        <v>0</v>
      </c>
      <c r="J230" t="s">
        <v>1980</v>
      </c>
      <c r="K230">
        <v>2022</v>
      </c>
      <c r="L230">
        <v>21</v>
      </c>
      <c r="M230" t="s">
        <v>94</v>
      </c>
    </row>
    <row r="231" spans="1:13" x14ac:dyDescent="0.3">
      <c r="A231" t="s">
        <v>245</v>
      </c>
      <c r="B231" t="b">
        <v>1</v>
      </c>
      <c r="C231" s="29" t="s">
        <v>855</v>
      </c>
      <c r="D231" t="b">
        <v>1</v>
      </c>
      <c r="E231" t="s">
        <v>854</v>
      </c>
      <c r="F231" t="s">
        <v>858</v>
      </c>
      <c r="G231" t="s">
        <v>857</v>
      </c>
      <c r="H231" t="b">
        <v>1</v>
      </c>
      <c r="I231" t="b">
        <v>1</v>
      </c>
      <c r="K231">
        <v>2024</v>
      </c>
      <c r="L231">
        <v>0</v>
      </c>
      <c r="M231" t="s">
        <v>856</v>
      </c>
    </row>
    <row r="232" spans="1:13" x14ac:dyDescent="0.3">
      <c r="A232" t="s">
        <v>700</v>
      </c>
      <c r="B232" t="b">
        <v>1</v>
      </c>
      <c r="C232" t="s">
        <v>1656</v>
      </c>
      <c r="D232" t="b">
        <v>0</v>
      </c>
      <c r="E232" t="s">
        <v>1655</v>
      </c>
      <c r="F232" t="s">
        <v>29</v>
      </c>
      <c r="G232" t="s">
        <v>1658</v>
      </c>
      <c r="K232">
        <v>2020</v>
      </c>
      <c r="L232">
        <v>28</v>
      </c>
      <c r="M232" t="s">
        <v>1657</v>
      </c>
    </row>
    <row r="233" spans="1:13" x14ac:dyDescent="0.3">
      <c r="A233" t="s">
        <v>314</v>
      </c>
      <c r="B233" t="b">
        <v>1</v>
      </c>
      <c r="C233" t="s">
        <v>468</v>
      </c>
      <c r="D233" t="b">
        <v>0</v>
      </c>
      <c r="E233" t="s">
        <v>1416</v>
      </c>
      <c r="F233" t="s">
        <v>1418</v>
      </c>
      <c r="G233" t="s">
        <v>1911</v>
      </c>
      <c r="K233">
        <v>2020</v>
      </c>
      <c r="L233">
        <v>5</v>
      </c>
      <c r="M233" t="s">
        <v>1417</v>
      </c>
    </row>
    <row r="234" spans="1:13" x14ac:dyDescent="0.3">
      <c r="A234" t="s">
        <v>1958</v>
      </c>
      <c r="B234" t="b">
        <v>0</v>
      </c>
      <c r="C234" t="s">
        <v>1640</v>
      </c>
      <c r="E234" t="s">
        <v>29</v>
      </c>
      <c r="F234" t="s">
        <v>29</v>
      </c>
      <c r="G234" t="s">
        <v>1642</v>
      </c>
      <c r="K234">
        <v>2020</v>
      </c>
      <c r="L234">
        <v>0</v>
      </c>
      <c r="M234" t="s">
        <v>1661</v>
      </c>
    </row>
    <row r="235" spans="1:13" x14ac:dyDescent="0.3">
      <c r="A235" t="s">
        <v>315</v>
      </c>
      <c r="B235" t="b">
        <v>1</v>
      </c>
      <c r="C235" t="s">
        <v>467</v>
      </c>
      <c r="D235" t="b">
        <v>0</v>
      </c>
      <c r="E235" t="s">
        <v>1469</v>
      </c>
      <c r="F235" t="s">
        <v>1472</v>
      </c>
      <c r="G235" t="s">
        <v>1471</v>
      </c>
      <c r="K235">
        <v>2020</v>
      </c>
      <c r="L235">
        <v>4</v>
      </c>
      <c r="M235" t="s">
        <v>1470</v>
      </c>
    </row>
    <row r="236" spans="1:13" x14ac:dyDescent="0.3">
      <c r="A236" t="s">
        <v>316</v>
      </c>
      <c r="B236" t="b">
        <v>1</v>
      </c>
      <c r="C236" t="s">
        <v>1420</v>
      </c>
      <c r="D236" t="b">
        <v>1</v>
      </c>
      <c r="E236" t="s">
        <v>1419</v>
      </c>
      <c r="F236" t="s">
        <v>29</v>
      </c>
      <c r="G236" t="s">
        <v>1422</v>
      </c>
      <c r="H236" s="28" t="b">
        <v>0</v>
      </c>
      <c r="I236" s="28"/>
      <c r="J236" s="28"/>
      <c r="K236">
        <v>2021</v>
      </c>
      <c r="L236">
        <v>8</v>
      </c>
      <c r="M236" t="s">
        <v>1421</v>
      </c>
    </row>
    <row r="237" spans="1:13" x14ac:dyDescent="0.3">
      <c r="A237" t="s">
        <v>317</v>
      </c>
      <c r="B237" t="b">
        <v>1</v>
      </c>
      <c r="C237" t="s">
        <v>484</v>
      </c>
      <c r="D237" t="b">
        <v>1</v>
      </c>
      <c r="E237" t="s">
        <v>1006</v>
      </c>
      <c r="F237" t="s">
        <v>1475</v>
      </c>
      <c r="G237" t="s">
        <v>1474</v>
      </c>
      <c r="H237" s="28" t="b">
        <v>0</v>
      </c>
      <c r="I237" s="28"/>
      <c r="J237" s="28"/>
      <c r="K237">
        <v>2021</v>
      </c>
      <c r="L237">
        <v>1</v>
      </c>
      <c r="M237" t="s">
        <v>1473</v>
      </c>
    </row>
    <row r="238" spans="1:13" x14ac:dyDescent="0.3">
      <c r="A238" t="s">
        <v>701</v>
      </c>
      <c r="B238" t="b">
        <v>1</v>
      </c>
      <c r="C238" t="s">
        <v>486</v>
      </c>
      <c r="D238" t="b">
        <v>0</v>
      </c>
      <c r="E238" t="s">
        <v>1476</v>
      </c>
      <c r="F238" t="s">
        <v>1479</v>
      </c>
      <c r="G238" t="s">
        <v>1478</v>
      </c>
      <c r="K238">
        <v>2021</v>
      </c>
      <c r="L238">
        <v>2</v>
      </c>
      <c r="M238" t="s">
        <v>1477</v>
      </c>
    </row>
    <row r="239" spans="1:13" x14ac:dyDescent="0.3">
      <c r="A239" t="s">
        <v>1959</v>
      </c>
      <c r="B239" t="b">
        <v>1</v>
      </c>
      <c r="C239" t="s">
        <v>1564</v>
      </c>
      <c r="D239" t="b">
        <v>0</v>
      </c>
      <c r="E239" t="s">
        <v>1563</v>
      </c>
      <c r="F239" t="s">
        <v>1567</v>
      </c>
      <c r="G239" t="s">
        <v>1566</v>
      </c>
      <c r="K239">
        <v>2020</v>
      </c>
      <c r="L239">
        <v>27</v>
      </c>
      <c r="M239" t="s">
        <v>1565</v>
      </c>
    </row>
    <row r="240" spans="1:13" x14ac:dyDescent="0.3">
      <c r="A240" t="s">
        <v>1917</v>
      </c>
      <c r="B240" t="b">
        <v>1</v>
      </c>
      <c r="C240" s="29" t="s">
        <v>55</v>
      </c>
      <c r="D240" t="b">
        <v>1</v>
      </c>
      <c r="E240" t="s">
        <v>657</v>
      </c>
      <c r="F240" t="s">
        <v>136</v>
      </c>
      <c r="G240" t="s">
        <v>111</v>
      </c>
      <c r="H240" t="b">
        <v>1</v>
      </c>
      <c r="I240" t="b">
        <v>0</v>
      </c>
      <c r="J240" t="s">
        <v>1980</v>
      </c>
      <c r="K240">
        <v>2024</v>
      </c>
      <c r="L240">
        <v>0</v>
      </c>
      <c r="M240" t="s">
        <v>77</v>
      </c>
    </row>
    <row r="241" spans="1:13" x14ac:dyDescent="0.3">
      <c r="A241" t="s">
        <v>702</v>
      </c>
      <c r="B241" t="b">
        <v>1</v>
      </c>
      <c r="C241" t="s">
        <v>1485</v>
      </c>
      <c r="D241" t="b">
        <v>0</v>
      </c>
      <c r="E241" t="s">
        <v>1484</v>
      </c>
      <c r="F241" t="s">
        <v>29</v>
      </c>
      <c r="G241" t="s">
        <v>1487</v>
      </c>
      <c r="K241">
        <v>2021</v>
      </c>
      <c r="L241">
        <v>1</v>
      </c>
      <c r="M241" t="s">
        <v>1486</v>
      </c>
    </row>
    <row r="242" spans="1:13" x14ac:dyDescent="0.3">
      <c r="A242" t="s">
        <v>318</v>
      </c>
      <c r="B242" t="b">
        <v>1</v>
      </c>
      <c r="C242" t="s">
        <v>516</v>
      </c>
      <c r="D242" t="b">
        <v>0</v>
      </c>
      <c r="E242" t="s">
        <v>1488</v>
      </c>
      <c r="F242" t="s">
        <v>541</v>
      </c>
      <c r="G242" t="s">
        <v>1490</v>
      </c>
      <c r="K242">
        <v>2020</v>
      </c>
      <c r="L242">
        <v>2</v>
      </c>
      <c r="M242" t="s">
        <v>1489</v>
      </c>
    </row>
    <row r="243" spans="1:13" x14ac:dyDescent="0.3">
      <c r="A243" t="s">
        <v>319</v>
      </c>
      <c r="B243" t="b">
        <v>1</v>
      </c>
      <c r="C243" t="s">
        <v>518</v>
      </c>
      <c r="D243" t="b">
        <v>0</v>
      </c>
      <c r="E243" t="s">
        <v>1568</v>
      </c>
      <c r="F243" t="s">
        <v>1571</v>
      </c>
      <c r="G243" t="s">
        <v>1570</v>
      </c>
      <c r="K243">
        <v>2020</v>
      </c>
      <c r="L243">
        <v>36</v>
      </c>
      <c r="M243" t="s">
        <v>1569</v>
      </c>
    </row>
    <row r="244" spans="1:13" ht="13.95" customHeight="1" x14ac:dyDescent="0.3">
      <c r="A244" t="s">
        <v>1961</v>
      </c>
      <c r="B244" t="b">
        <v>1</v>
      </c>
      <c r="C244" t="s">
        <v>1616</v>
      </c>
      <c r="D244" t="b">
        <v>0</v>
      </c>
      <c r="E244" t="s">
        <v>1615</v>
      </c>
      <c r="F244" t="s">
        <v>1619</v>
      </c>
      <c r="G244" t="s">
        <v>1618</v>
      </c>
      <c r="K244">
        <v>2020</v>
      </c>
      <c r="L244">
        <v>5</v>
      </c>
      <c r="M244" t="s">
        <v>1617</v>
      </c>
    </row>
    <row r="245" spans="1:13" x14ac:dyDescent="0.3">
      <c r="A245" t="s">
        <v>703</v>
      </c>
      <c r="B245" t="b">
        <v>1</v>
      </c>
      <c r="C245" t="s">
        <v>1573</v>
      </c>
      <c r="D245" t="b">
        <v>0</v>
      </c>
      <c r="E245" t="s">
        <v>1572</v>
      </c>
      <c r="F245" t="s">
        <v>1575</v>
      </c>
      <c r="G245" t="s">
        <v>1912</v>
      </c>
      <c r="K245">
        <v>2020</v>
      </c>
      <c r="L245">
        <v>6</v>
      </c>
      <c r="M245" t="s">
        <v>1574</v>
      </c>
    </row>
    <row r="246" spans="1:13" x14ac:dyDescent="0.3">
      <c r="A246" t="s">
        <v>320</v>
      </c>
      <c r="B246" t="b">
        <v>1</v>
      </c>
      <c r="C246" t="s">
        <v>1577</v>
      </c>
      <c r="D246" t="b">
        <v>0</v>
      </c>
      <c r="E246" t="s">
        <v>1576</v>
      </c>
      <c r="F246" t="s">
        <v>29</v>
      </c>
      <c r="G246" t="s">
        <v>1579</v>
      </c>
      <c r="K246">
        <v>2020</v>
      </c>
      <c r="L246">
        <v>13</v>
      </c>
      <c r="M246" t="s">
        <v>1578</v>
      </c>
    </row>
    <row r="247" spans="1:13" x14ac:dyDescent="0.3">
      <c r="A247" t="s">
        <v>704</v>
      </c>
      <c r="B247" t="b">
        <v>1</v>
      </c>
      <c r="C247" t="s">
        <v>67</v>
      </c>
      <c r="D247" t="b">
        <v>0</v>
      </c>
      <c r="E247" t="s">
        <v>674</v>
      </c>
      <c r="F247" t="s">
        <v>150</v>
      </c>
      <c r="G247" t="s">
        <v>129</v>
      </c>
      <c r="K247">
        <v>2021</v>
      </c>
      <c r="L247">
        <v>13</v>
      </c>
      <c r="M247" t="s">
        <v>101</v>
      </c>
    </row>
    <row r="248" spans="1:13" x14ac:dyDescent="0.3">
      <c r="A248" t="s">
        <v>321</v>
      </c>
      <c r="B248" t="b">
        <v>1</v>
      </c>
      <c r="C248" t="s">
        <v>500</v>
      </c>
      <c r="D248" t="b">
        <v>0</v>
      </c>
      <c r="E248" t="s">
        <v>1580</v>
      </c>
      <c r="F248" t="s">
        <v>1583</v>
      </c>
      <c r="G248" t="s">
        <v>1582</v>
      </c>
      <c r="K248">
        <v>2020</v>
      </c>
      <c r="L248">
        <v>17</v>
      </c>
      <c r="M248" t="s">
        <v>1581</v>
      </c>
    </row>
    <row r="249" spans="1:13" x14ac:dyDescent="0.3">
      <c r="A249" t="s">
        <v>705</v>
      </c>
      <c r="B249" t="b">
        <v>1</v>
      </c>
      <c r="C249" t="s">
        <v>1644</v>
      </c>
      <c r="D249" t="b">
        <v>0</v>
      </c>
      <c r="E249" t="s">
        <v>1643</v>
      </c>
      <c r="F249" t="s">
        <v>29</v>
      </c>
      <c r="G249" t="s">
        <v>1646</v>
      </c>
      <c r="K249">
        <v>2020</v>
      </c>
      <c r="L249">
        <v>0</v>
      </c>
      <c r="M249" t="s">
        <v>1645</v>
      </c>
    </row>
    <row r="250" spans="1:13" x14ac:dyDescent="0.3">
      <c r="A250" t="s">
        <v>706</v>
      </c>
      <c r="B250" t="b">
        <v>1</v>
      </c>
      <c r="C250" t="s">
        <v>1648</v>
      </c>
      <c r="D250" t="b">
        <v>0</v>
      </c>
      <c r="E250" t="s">
        <v>1647</v>
      </c>
      <c r="F250" t="s">
        <v>1651</v>
      </c>
      <c r="G250" t="s">
        <v>1650</v>
      </c>
      <c r="K250">
        <v>2020</v>
      </c>
      <c r="L250">
        <v>8</v>
      </c>
      <c r="M250" t="s">
        <v>1649</v>
      </c>
    </row>
    <row r="251" spans="1:13" x14ac:dyDescent="0.3">
      <c r="A251" t="s">
        <v>1962</v>
      </c>
      <c r="B251" t="b">
        <v>1</v>
      </c>
      <c r="C251" t="s">
        <v>1435</v>
      </c>
      <c r="D251" t="b">
        <v>0</v>
      </c>
      <c r="E251" t="s">
        <v>1434</v>
      </c>
      <c r="F251" t="s">
        <v>1438</v>
      </c>
      <c r="G251" t="s">
        <v>1437</v>
      </c>
      <c r="K251">
        <v>2020</v>
      </c>
      <c r="L251">
        <v>6</v>
      </c>
      <c r="M251" t="s">
        <v>1436</v>
      </c>
    </row>
    <row r="252" spans="1:13" x14ac:dyDescent="0.3">
      <c r="A252" t="s">
        <v>1963</v>
      </c>
      <c r="B252" t="b">
        <v>1</v>
      </c>
      <c r="C252" t="s">
        <v>1440</v>
      </c>
      <c r="D252" t="b">
        <v>1</v>
      </c>
      <c r="E252" t="s">
        <v>1439</v>
      </c>
      <c r="F252" t="s">
        <v>1443</v>
      </c>
      <c r="G252" t="s">
        <v>1442</v>
      </c>
      <c r="H252" s="28" t="b">
        <v>0</v>
      </c>
      <c r="I252" s="28"/>
      <c r="J252" s="28"/>
      <c r="K252">
        <v>2021</v>
      </c>
      <c r="L252">
        <v>2</v>
      </c>
      <c r="M252" t="s">
        <v>1441</v>
      </c>
    </row>
    <row r="253" spans="1:13" x14ac:dyDescent="0.3">
      <c r="A253" t="s">
        <v>322</v>
      </c>
      <c r="B253" t="b">
        <v>1</v>
      </c>
      <c r="C253" t="s">
        <v>1623</v>
      </c>
      <c r="D253" t="b">
        <v>1</v>
      </c>
      <c r="E253" t="s">
        <v>1622</v>
      </c>
      <c r="F253" t="s">
        <v>29</v>
      </c>
      <c r="G253" t="s">
        <v>1625</v>
      </c>
      <c r="H253" s="28" t="b">
        <v>0</v>
      </c>
      <c r="I253" s="28"/>
      <c r="J253" s="28"/>
      <c r="K253">
        <v>2020</v>
      </c>
      <c r="L253">
        <v>2</v>
      </c>
      <c r="M253" t="s">
        <v>1624</v>
      </c>
    </row>
    <row r="254" spans="1:13" x14ac:dyDescent="0.3">
      <c r="A254" t="s">
        <v>323</v>
      </c>
      <c r="B254" t="b">
        <v>1</v>
      </c>
      <c r="C254" t="s">
        <v>1585</v>
      </c>
      <c r="D254" t="b">
        <v>0</v>
      </c>
      <c r="E254" t="s">
        <v>1584</v>
      </c>
      <c r="F254" t="s">
        <v>1588</v>
      </c>
      <c r="G254" t="s">
        <v>1587</v>
      </c>
      <c r="K254">
        <v>2020</v>
      </c>
      <c r="L254">
        <v>0</v>
      </c>
      <c r="M254" t="s">
        <v>1586</v>
      </c>
    </row>
    <row r="255" spans="1:13" x14ac:dyDescent="0.3">
      <c r="A255" t="s">
        <v>324</v>
      </c>
      <c r="B255" t="b">
        <v>1</v>
      </c>
      <c r="C255" t="s">
        <v>1507</v>
      </c>
      <c r="D255" t="b">
        <v>0</v>
      </c>
      <c r="E255" t="s">
        <v>1506</v>
      </c>
      <c r="F255" t="s">
        <v>1510</v>
      </c>
      <c r="G255" t="s">
        <v>1509</v>
      </c>
      <c r="K255">
        <v>2021</v>
      </c>
      <c r="L255">
        <v>0</v>
      </c>
      <c r="M255" t="s">
        <v>1508</v>
      </c>
    </row>
    <row r="256" spans="1:13" x14ac:dyDescent="0.3">
      <c r="A256" t="s">
        <v>1964</v>
      </c>
      <c r="B256" t="b">
        <v>1</v>
      </c>
      <c r="C256" t="s">
        <v>1512</v>
      </c>
      <c r="D256" t="b">
        <v>0</v>
      </c>
      <c r="E256" t="s">
        <v>1511</v>
      </c>
      <c r="F256" t="s">
        <v>1514</v>
      </c>
      <c r="G256" t="s">
        <v>1913</v>
      </c>
      <c r="K256">
        <v>2020</v>
      </c>
      <c r="L256">
        <v>45</v>
      </c>
      <c r="M256" t="s">
        <v>1513</v>
      </c>
    </row>
    <row r="257" spans="1:13" x14ac:dyDescent="0.3">
      <c r="A257" t="s">
        <v>325</v>
      </c>
      <c r="B257" t="b">
        <v>1</v>
      </c>
      <c r="C257" t="s">
        <v>447</v>
      </c>
      <c r="D257" t="b">
        <v>0</v>
      </c>
      <c r="E257" t="s">
        <v>1449</v>
      </c>
      <c r="F257" t="s">
        <v>29</v>
      </c>
      <c r="G257" t="s">
        <v>1451</v>
      </c>
      <c r="K257">
        <v>2021</v>
      </c>
      <c r="L257">
        <v>1</v>
      </c>
      <c r="M257" t="s">
        <v>1450</v>
      </c>
    </row>
    <row r="258" spans="1:13" x14ac:dyDescent="0.3">
      <c r="A258" t="s">
        <v>1965</v>
      </c>
      <c r="B258" t="b">
        <v>1</v>
      </c>
      <c r="C258" t="s">
        <v>1592</v>
      </c>
      <c r="D258" t="b">
        <v>0</v>
      </c>
      <c r="E258" t="s">
        <v>1591</v>
      </c>
      <c r="F258" t="s">
        <v>1595</v>
      </c>
      <c r="G258" t="s">
        <v>1594</v>
      </c>
      <c r="K258">
        <v>2020</v>
      </c>
      <c r="L258">
        <v>7</v>
      </c>
      <c r="M258" t="s">
        <v>1593</v>
      </c>
    </row>
    <row r="259" spans="1:13" x14ac:dyDescent="0.3">
      <c r="A259" t="s">
        <v>326</v>
      </c>
      <c r="B259" t="b">
        <v>1</v>
      </c>
      <c r="C259" t="s">
        <v>1516</v>
      </c>
      <c r="D259" t="b">
        <v>1</v>
      </c>
      <c r="E259" t="s">
        <v>1515</v>
      </c>
      <c r="F259" t="s">
        <v>1519</v>
      </c>
      <c r="G259" t="s">
        <v>1518</v>
      </c>
      <c r="H259" s="28" t="b">
        <v>0</v>
      </c>
      <c r="I259" s="28"/>
      <c r="J259" s="28"/>
      <c r="K259">
        <v>2021</v>
      </c>
      <c r="L259">
        <v>10</v>
      </c>
      <c r="M259" t="s">
        <v>1517</v>
      </c>
    </row>
    <row r="260" spans="1:13" x14ac:dyDescent="0.3">
      <c r="A260" t="s">
        <v>167</v>
      </c>
      <c r="B260" t="b">
        <v>1</v>
      </c>
      <c r="C260" s="29" t="s">
        <v>465</v>
      </c>
      <c r="D260" t="b">
        <v>1</v>
      </c>
      <c r="E260" t="s">
        <v>1693</v>
      </c>
      <c r="F260" t="s">
        <v>1830</v>
      </c>
      <c r="G260" t="s">
        <v>581</v>
      </c>
      <c r="H260" t="b">
        <v>1</v>
      </c>
      <c r="I260" t="b">
        <v>0</v>
      </c>
      <c r="J260" t="s">
        <v>1980</v>
      </c>
      <c r="K260">
        <v>2023</v>
      </c>
      <c r="L260">
        <v>3</v>
      </c>
      <c r="M260" t="s">
        <v>1778</v>
      </c>
    </row>
    <row r="261" spans="1:13" x14ac:dyDescent="0.3">
      <c r="A261" t="s">
        <v>328</v>
      </c>
      <c r="B261" t="b">
        <v>1</v>
      </c>
      <c r="C261" t="s">
        <v>1528</v>
      </c>
      <c r="D261" t="b">
        <v>0</v>
      </c>
      <c r="E261" t="s">
        <v>1527</v>
      </c>
      <c r="F261" t="s">
        <v>1531</v>
      </c>
      <c r="G261" t="s">
        <v>1530</v>
      </c>
      <c r="K261">
        <v>2020</v>
      </c>
      <c r="L261">
        <v>1</v>
      </c>
      <c r="M261" t="s">
        <v>1529</v>
      </c>
    </row>
    <row r="262" spans="1:13" x14ac:dyDescent="0.3">
      <c r="A262" t="s">
        <v>329</v>
      </c>
      <c r="B262" t="b">
        <v>1</v>
      </c>
      <c r="C262" t="s">
        <v>1597</v>
      </c>
      <c r="D262" t="b">
        <v>0</v>
      </c>
      <c r="E262" t="s">
        <v>1596</v>
      </c>
      <c r="F262" t="s">
        <v>29</v>
      </c>
      <c r="G262" t="s">
        <v>1599</v>
      </c>
      <c r="K262">
        <v>2020</v>
      </c>
      <c r="L262">
        <v>1</v>
      </c>
      <c r="M262" t="s">
        <v>1598</v>
      </c>
    </row>
    <row r="263" spans="1:13" x14ac:dyDescent="0.3">
      <c r="A263" t="s">
        <v>1966</v>
      </c>
      <c r="B263" t="b">
        <v>1</v>
      </c>
      <c r="C263" t="s">
        <v>1664</v>
      </c>
      <c r="D263" t="b">
        <v>0</v>
      </c>
      <c r="E263" t="s">
        <v>1663</v>
      </c>
      <c r="F263" t="s">
        <v>1667</v>
      </c>
      <c r="G263" t="s">
        <v>1666</v>
      </c>
      <c r="K263">
        <v>2020</v>
      </c>
      <c r="L263">
        <v>10</v>
      </c>
      <c r="M263" t="s">
        <v>1665</v>
      </c>
    </row>
    <row r="264" spans="1:13" x14ac:dyDescent="0.3">
      <c r="A264" t="s">
        <v>708</v>
      </c>
      <c r="B264" t="b">
        <v>1</v>
      </c>
      <c r="C264" t="s">
        <v>461</v>
      </c>
      <c r="D264" t="b">
        <v>1</v>
      </c>
      <c r="E264" t="s">
        <v>362</v>
      </c>
      <c r="G264" t="s">
        <v>577</v>
      </c>
      <c r="H264" s="28" t="b">
        <v>0</v>
      </c>
      <c r="I264" s="28"/>
      <c r="J264" s="28"/>
      <c r="K264">
        <v>2023</v>
      </c>
      <c r="L264">
        <v>2</v>
      </c>
      <c r="M264" t="s">
        <v>709</v>
      </c>
    </row>
    <row r="265" spans="1:13" x14ac:dyDescent="0.3">
      <c r="A265" t="s">
        <v>1967</v>
      </c>
      <c r="B265" t="b">
        <v>1</v>
      </c>
      <c r="C265" t="s">
        <v>480</v>
      </c>
      <c r="D265" t="b">
        <v>0</v>
      </c>
      <c r="E265" t="s">
        <v>380</v>
      </c>
      <c r="G265" t="s">
        <v>595</v>
      </c>
      <c r="K265">
        <v>2023</v>
      </c>
      <c r="L265">
        <v>0</v>
      </c>
      <c r="M265" t="s">
        <v>29</v>
      </c>
    </row>
    <row r="266" spans="1:13" x14ac:dyDescent="0.3">
      <c r="A266" t="s">
        <v>1968</v>
      </c>
      <c r="B266" t="b">
        <v>1</v>
      </c>
      <c r="C266" t="s">
        <v>433</v>
      </c>
      <c r="D266" t="b">
        <v>0</v>
      </c>
      <c r="E266" t="s">
        <v>333</v>
      </c>
      <c r="G266" t="s">
        <v>548</v>
      </c>
      <c r="K266">
        <v>2022</v>
      </c>
      <c r="L266">
        <v>18</v>
      </c>
      <c r="M266" t="s">
        <v>707</v>
      </c>
    </row>
    <row r="267" spans="1:13" x14ac:dyDescent="0.3">
      <c r="A267" t="s">
        <v>1969</v>
      </c>
      <c r="B267" t="b">
        <v>1</v>
      </c>
      <c r="C267" t="s">
        <v>513</v>
      </c>
      <c r="D267" t="b">
        <v>0</v>
      </c>
      <c r="E267" t="s">
        <v>409</v>
      </c>
      <c r="G267" t="s">
        <v>625</v>
      </c>
      <c r="K267">
        <v>2023</v>
      </c>
      <c r="L267">
        <v>0</v>
      </c>
      <c r="M267" t="s">
        <v>710</v>
      </c>
    </row>
    <row r="268" spans="1:13" x14ac:dyDescent="0.3">
      <c r="A268" t="s">
        <v>1970</v>
      </c>
      <c r="B268" t="b">
        <v>1</v>
      </c>
      <c r="C268" t="s">
        <v>515</v>
      </c>
      <c r="D268" t="b">
        <v>0</v>
      </c>
      <c r="E268" t="s">
        <v>411</v>
      </c>
      <c r="G268" t="s">
        <v>627</v>
      </c>
      <c r="K268">
        <v>2024</v>
      </c>
      <c r="L268">
        <v>0</v>
      </c>
      <c r="M268" t="s">
        <v>711</v>
      </c>
    </row>
    <row r="269" spans="1:13" x14ac:dyDescent="0.3">
      <c r="A269" t="s">
        <v>1971</v>
      </c>
      <c r="B269" t="b">
        <v>1</v>
      </c>
      <c r="C269" t="s">
        <v>520</v>
      </c>
      <c r="D269" t="b">
        <v>0</v>
      </c>
      <c r="E269" t="s">
        <v>416</v>
      </c>
      <c r="G269" t="s">
        <v>632</v>
      </c>
      <c r="K269">
        <v>2022</v>
      </c>
      <c r="L269">
        <v>8</v>
      </c>
      <c r="M269" t="s">
        <v>712</v>
      </c>
    </row>
    <row r="270" spans="1:13" x14ac:dyDescent="0.3">
      <c r="A270" t="s">
        <v>1972</v>
      </c>
      <c r="B270" t="b">
        <v>1</v>
      </c>
      <c r="C270" t="s">
        <v>530</v>
      </c>
      <c r="D270" t="b">
        <v>0</v>
      </c>
      <c r="E270" t="s">
        <v>426</v>
      </c>
      <c r="G270" t="s">
        <v>642</v>
      </c>
      <c r="K270">
        <v>2023</v>
      </c>
      <c r="L270">
        <v>1</v>
      </c>
      <c r="M270" t="s">
        <v>29</v>
      </c>
    </row>
    <row r="271" spans="1:13" x14ac:dyDescent="0.3">
      <c r="A271" t="s">
        <v>1973</v>
      </c>
      <c r="B271" t="b">
        <v>1</v>
      </c>
      <c r="C271" t="s">
        <v>534</v>
      </c>
      <c r="D271" t="b">
        <v>0</v>
      </c>
      <c r="E271" t="s">
        <v>430</v>
      </c>
      <c r="G271" t="s">
        <v>646</v>
      </c>
      <c r="K271">
        <v>2024</v>
      </c>
      <c r="L271">
        <v>0</v>
      </c>
      <c r="M271" t="s">
        <v>713</v>
      </c>
    </row>
    <row r="272" spans="1:13" x14ac:dyDescent="0.3">
      <c r="A272" t="s">
        <v>2008</v>
      </c>
      <c r="B272" t="b">
        <v>1</v>
      </c>
      <c r="C272" t="s">
        <v>1981</v>
      </c>
      <c r="D272" t="b">
        <v>1</v>
      </c>
      <c r="E272" t="s">
        <v>1982</v>
      </c>
      <c r="G272" t="s">
        <v>1984</v>
      </c>
      <c r="H272" t="b">
        <v>1</v>
      </c>
      <c r="I272" t="b">
        <v>1</v>
      </c>
      <c r="K272">
        <v>2019</v>
      </c>
      <c r="M272" t="s">
        <v>1983</v>
      </c>
    </row>
    <row r="273" spans="1:13" x14ac:dyDescent="0.3">
      <c r="A273" t="s">
        <v>2009</v>
      </c>
      <c r="B273" t="b">
        <v>1</v>
      </c>
      <c r="C273" t="s">
        <v>1986</v>
      </c>
      <c r="D273" t="b">
        <v>1</v>
      </c>
      <c r="E273" t="s">
        <v>1987</v>
      </c>
      <c r="G273" t="s">
        <v>1989</v>
      </c>
      <c r="H273" t="b">
        <v>1</v>
      </c>
      <c r="I273" t="b">
        <v>0</v>
      </c>
      <c r="J273" t="s">
        <v>2014</v>
      </c>
      <c r="K273">
        <v>2000</v>
      </c>
      <c r="M273" t="s">
        <v>1988</v>
      </c>
    </row>
    <row r="274" spans="1:13" x14ac:dyDescent="0.3">
      <c r="A274" t="s">
        <v>2010</v>
      </c>
      <c r="B274" t="b">
        <v>1</v>
      </c>
      <c r="C274" t="s">
        <v>1990</v>
      </c>
      <c r="D274" t="b">
        <v>1</v>
      </c>
      <c r="E274" t="s">
        <v>1991</v>
      </c>
      <c r="G274" t="s">
        <v>1992</v>
      </c>
      <c r="H274" t="b">
        <v>1</v>
      </c>
      <c r="I274" t="b">
        <v>1</v>
      </c>
      <c r="K274">
        <v>2018</v>
      </c>
      <c r="M274" t="s">
        <v>1993</v>
      </c>
    </row>
    <row r="275" spans="1:13" x14ac:dyDescent="0.3">
      <c r="A275" t="s">
        <v>2011</v>
      </c>
      <c r="B275" t="b">
        <v>1</v>
      </c>
      <c r="C275" t="s">
        <v>1995</v>
      </c>
      <c r="D275" t="b">
        <v>1</v>
      </c>
      <c r="E275" t="s">
        <v>1994</v>
      </c>
      <c r="G275" t="s">
        <v>2002</v>
      </c>
      <c r="H275" t="b">
        <v>1</v>
      </c>
      <c r="I275" t="b">
        <v>0</v>
      </c>
      <c r="J275" t="s">
        <v>2000</v>
      </c>
      <c r="K275">
        <v>2016</v>
      </c>
      <c r="M275" t="s">
        <v>2003</v>
      </c>
    </row>
    <row r="276" spans="1:13" x14ac:dyDescent="0.3">
      <c r="A276" t="s">
        <v>2012</v>
      </c>
      <c r="B276" t="b">
        <v>1</v>
      </c>
      <c r="C276" t="s">
        <v>1997</v>
      </c>
      <c r="D276" t="b">
        <v>1</v>
      </c>
      <c r="E276" t="s">
        <v>1996</v>
      </c>
      <c r="G276" t="s">
        <v>2004</v>
      </c>
      <c r="H276" t="b">
        <v>1</v>
      </c>
      <c r="I276" t="b">
        <v>1</v>
      </c>
      <c r="K276">
        <v>2018</v>
      </c>
      <c r="M276" t="s">
        <v>2005</v>
      </c>
    </row>
    <row r="277" spans="1:13" x14ac:dyDescent="0.3">
      <c r="A277" t="s">
        <v>2013</v>
      </c>
      <c r="B277" t="b">
        <v>1</v>
      </c>
      <c r="C277" t="s">
        <v>1999</v>
      </c>
      <c r="D277" t="b">
        <v>1</v>
      </c>
      <c r="E277" t="s">
        <v>1998</v>
      </c>
      <c r="G277" t="s">
        <v>2006</v>
      </c>
      <c r="H277" t="b">
        <v>1</v>
      </c>
      <c r="I277" t="b">
        <v>0</v>
      </c>
      <c r="J277" t="s">
        <v>2014</v>
      </c>
      <c r="K277">
        <v>2021</v>
      </c>
      <c r="M277" t="s">
        <v>2007</v>
      </c>
    </row>
    <row r="278" spans="1:13" x14ac:dyDescent="0.3">
      <c r="A278" t="s">
        <v>2030</v>
      </c>
      <c r="B278" t="b">
        <v>1</v>
      </c>
      <c r="C278" t="s">
        <v>2015</v>
      </c>
      <c r="D278" t="b">
        <v>1</v>
      </c>
      <c r="E278" t="s">
        <v>2016</v>
      </c>
      <c r="G278" t="s">
        <v>2017</v>
      </c>
      <c r="H278" t="b">
        <v>1</v>
      </c>
      <c r="I278" t="b">
        <v>1</v>
      </c>
      <c r="K278">
        <v>2020</v>
      </c>
      <c r="M278" s="13" t="s">
        <v>2018</v>
      </c>
    </row>
    <row r="279" spans="1:13" x14ac:dyDescent="0.3">
      <c r="A279" t="s">
        <v>2031</v>
      </c>
      <c r="B279" t="b">
        <v>1</v>
      </c>
      <c r="C279" t="s">
        <v>2019</v>
      </c>
      <c r="D279" t="b">
        <v>1</v>
      </c>
      <c r="E279" t="s">
        <v>2020</v>
      </c>
      <c r="G279" t="s">
        <v>2021</v>
      </c>
      <c r="H279" t="b">
        <v>1</v>
      </c>
      <c r="I279" t="b">
        <v>1</v>
      </c>
      <c r="K279">
        <v>2019</v>
      </c>
      <c r="M279" s="13" t="s">
        <v>2022</v>
      </c>
    </row>
    <row r="280" spans="1:13" x14ac:dyDescent="0.3">
      <c r="A280" t="s">
        <v>2028</v>
      </c>
      <c r="B280" t="b">
        <v>1</v>
      </c>
      <c r="C280" t="s">
        <v>2023</v>
      </c>
      <c r="D280" t="b">
        <v>1</v>
      </c>
      <c r="E280" t="s">
        <v>2026</v>
      </c>
      <c r="H280" t="b">
        <v>1</v>
      </c>
      <c r="I280" t="b">
        <v>1</v>
      </c>
      <c r="K280">
        <v>2004</v>
      </c>
      <c r="M280" t="s">
        <v>2025</v>
      </c>
    </row>
    <row r="281" spans="1:13" x14ac:dyDescent="0.3">
      <c r="A281" t="s">
        <v>2029</v>
      </c>
      <c r="B281" t="b">
        <v>1</v>
      </c>
      <c r="C281" t="s">
        <v>1986</v>
      </c>
      <c r="D281" t="b">
        <v>1</v>
      </c>
      <c r="E281" t="s">
        <v>2027</v>
      </c>
      <c r="F281" t="s">
        <v>1989</v>
      </c>
      <c r="H281" t="b">
        <v>1</v>
      </c>
      <c r="I281" t="b">
        <v>1</v>
      </c>
      <c r="K281">
        <v>2000</v>
      </c>
      <c r="M281" t="s">
        <v>2024</v>
      </c>
    </row>
  </sheetData>
  <conditionalFormatting sqref="E272:E281 C282:C1048576 F2:F3 C1">
    <cfRule type="duplicateValues" dxfId="40" priority="2"/>
  </conditionalFormatting>
  <conditionalFormatting sqref="E272:E281 C1:C271 C282:C1048576">
    <cfRule type="duplicateValues" dxfId="39"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B5FCD-C2F6-4C5A-AD11-22F1539DC806}">
  <sheetPr codeName="Sheet3"/>
  <dimension ref="A1:H3"/>
  <sheetViews>
    <sheetView topLeftCell="H1" workbookViewId="0">
      <selection activeCell="B2" sqref="B2:H3"/>
    </sheetView>
  </sheetViews>
  <sheetFormatPr defaultRowHeight="14.4" x14ac:dyDescent="0.3"/>
  <cols>
    <col min="2" max="2" width="60.6640625" customWidth="1"/>
    <col min="3" max="3" width="17.5546875" customWidth="1"/>
    <col min="4" max="4" width="20.5546875" customWidth="1"/>
    <col min="5" max="5" width="49.5546875" customWidth="1"/>
    <col min="6" max="6" width="19.109375" customWidth="1"/>
    <col min="7" max="7" width="20" customWidth="1"/>
    <col min="8" max="8" width="44.33203125" customWidth="1"/>
  </cols>
  <sheetData>
    <row r="1" spans="1:8" x14ac:dyDescent="0.3">
      <c r="A1" s="9" t="s">
        <v>40</v>
      </c>
      <c r="B1" s="10" t="s">
        <v>16</v>
      </c>
      <c r="C1" s="10" t="s">
        <v>8</v>
      </c>
      <c r="D1" s="10" t="s">
        <v>28</v>
      </c>
      <c r="E1" s="10" t="s">
        <v>30</v>
      </c>
      <c r="F1" s="11" t="s">
        <v>38</v>
      </c>
      <c r="G1" s="11" t="s">
        <v>39</v>
      </c>
      <c r="H1" s="12" t="s">
        <v>51</v>
      </c>
    </row>
    <row r="2" spans="1:8" ht="15" x14ac:dyDescent="0.3">
      <c r="A2" s="18" t="str">
        <f>"ACM_" &amp; ROW()-1</f>
        <v>ACM_1</v>
      </c>
      <c r="B2" s="19" t="s">
        <v>1874</v>
      </c>
      <c r="C2" s="19" t="s">
        <v>1875</v>
      </c>
      <c r="D2" s="14"/>
      <c r="E2" s="19" t="s">
        <v>1671</v>
      </c>
      <c r="F2">
        <v>2023</v>
      </c>
      <c r="G2" s="13">
        <v>4</v>
      </c>
      <c r="H2" s="19" t="s">
        <v>1669</v>
      </c>
    </row>
    <row r="3" spans="1:8" ht="15" x14ac:dyDescent="0.3">
      <c r="A3" s="20" t="str">
        <f>"ACM_" &amp; ROW()-1</f>
        <v>ACM_2</v>
      </c>
      <c r="B3" s="21" t="s">
        <v>1465</v>
      </c>
      <c r="C3" s="19" t="s">
        <v>1876</v>
      </c>
      <c r="D3" s="22"/>
      <c r="E3" s="19" t="s">
        <v>1672</v>
      </c>
      <c r="F3" s="23">
        <v>2020</v>
      </c>
      <c r="G3" s="22">
        <v>3</v>
      </c>
      <c r="H3" s="19" t="s">
        <v>1670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41F1D-B39C-45C8-BF59-673F47096417}">
  <sheetPr codeName="Sheet4"/>
  <dimension ref="A1:H58"/>
  <sheetViews>
    <sheetView topLeftCell="A11" workbookViewId="0">
      <selection activeCell="A2" sqref="A2:H58"/>
    </sheetView>
  </sheetViews>
  <sheetFormatPr defaultRowHeight="14.4" x14ac:dyDescent="0.3"/>
  <cols>
    <col min="2" max="2" width="46.5546875" customWidth="1"/>
    <col min="3" max="3" width="20.6640625" customWidth="1"/>
    <col min="4" max="4" width="19.88671875" customWidth="1"/>
    <col min="5" max="5" width="103.33203125" customWidth="1"/>
    <col min="6" max="6" width="18.6640625" customWidth="1"/>
    <col min="7" max="7" width="19.44140625" customWidth="1"/>
    <col min="8" max="8" width="31" customWidth="1"/>
  </cols>
  <sheetData>
    <row r="1" spans="1:8" x14ac:dyDescent="0.3">
      <c r="A1" s="9" t="s">
        <v>40</v>
      </c>
      <c r="B1" s="10" t="s">
        <v>16</v>
      </c>
      <c r="C1" s="10" t="s">
        <v>8</v>
      </c>
      <c r="D1" s="10" t="s">
        <v>28</v>
      </c>
      <c r="E1" s="10" t="s">
        <v>30</v>
      </c>
      <c r="F1" s="11" t="s">
        <v>38</v>
      </c>
      <c r="G1" s="11" t="s">
        <v>39</v>
      </c>
      <c r="H1" s="12" t="s">
        <v>51</v>
      </c>
    </row>
    <row r="2" spans="1:8" x14ac:dyDescent="0.3">
      <c r="A2" s="13" t="str">
        <f t="shared" ref="A2:A33" si="0">"IEEE_" &amp; ROW()-1</f>
        <v>IEEE_1</v>
      </c>
      <c r="B2" t="s">
        <v>431</v>
      </c>
      <c r="C2" t="s">
        <v>1682</v>
      </c>
      <c r="D2" t="s">
        <v>1819</v>
      </c>
      <c r="E2" t="s">
        <v>546</v>
      </c>
      <c r="F2">
        <v>2020</v>
      </c>
      <c r="G2">
        <v>1</v>
      </c>
      <c r="H2" t="s">
        <v>1767</v>
      </c>
    </row>
    <row r="3" spans="1:8" x14ac:dyDescent="0.3">
      <c r="A3" s="13" t="str">
        <f t="shared" si="0"/>
        <v>IEEE_2</v>
      </c>
      <c r="B3" t="s">
        <v>1673</v>
      </c>
      <c r="C3" t="s">
        <v>1683</v>
      </c>
      <c r="D3" t="s">
        <v>1820</v>
      </c>
      <c r="E3" t="s">
        <v>1734</v>
      </c>
      <c r="F3">
        <v>2024</v>
      </c>
      <c r="G3">
        <v>0</v>
      </c>
      <c r="H3" t="s">
        <v>1768</v>
      </c>
    </row>
    <row r="4" spans="1:8" x14ac:dyDescent="0.3">
      <c r="A4" s="13" t="str">
        <f t="shared" si="0"/>
        <v>IEEE_3</v>
      </c>
      <c r="B4" t="s">
        <v>1674</v>
      </c>
      <c r="C4" t="s">
        <v>1684</v>
      </c>
      <c r="D4" t="s">
        <v>1821</v>
      </c>
      <c r="E4" t="s">
        <v>1735</v>
      </c>
      <c r="F4">
        <v>2024</v>
      </c>
      <c r="G4">
        <v>0</v>
      </c>
      <c r="H4" t="s">
        <v>1769</v>
      </c>
    </row>
    <row r="5" spans="1:8" x14ac:dyDescent="0.3">
      <c r="A5" s="13" t="str">
        <f t="shared" si="0"/>
        <v>IEEE_4</v>
      </c>
      <c r="B5" t="s">
        <v>456</v>
      </c>
      <c r="C5" t="s">
        <v>1689</v>
      </c>
      <c r="D5" t="s">
        <v>1826</v>
      </c>
      <c r="E5" t="s">
        <v>572</v>
      </c>
      <c r="F5">
        <v>2020</v>
      </c>
      <c r="G5">
        <v>6</v>
      </c>
      <c r="H5" t="s">
        <v>1774</v>
      </c>
    </row>
    <row r="6" spans="1:8" x14ac:dyDescent="0.3">
      <c r="A6" s="13" t="str">
        <f t="shared" si="0"/>
        <v>IEEE_5</v>
      </c>
      <c r="B6" t="s">
        <v>866</v>
      </c>
      <c r="C6" t="s">
        <v>1685</v>
      </c>
      <c r="D6" t="s">
        <v>1822</v>
      </c>
      <c r="E6" t="s">
        <v>1736</v>
      </c>
      <c r="F6">
        <v>2024</v>
      </c>
      <c r="G6">
        <v>2</v>
      </c>
      <c r="H6" t="s">
        <v>1770</v>
      </c>
    </row>
    <row r="7" spans="1:8" x14ac:dyDescent="0.3">
      <c r="A7" s="13" t="str">
        <f t="shared" si="0"/>
        <v>IEEE_6</v>
      </c>
      <c r="B7" t="s">
        <v>1677</v>
      </c>
      <c r="C7" t="s">
        <v>1692</v>
      </c>
      <c r="D7" t="s">
        <v>1829</v>
      </c>
      <c r="E7" t="s">
        <v>1741</v>
      </c>
      <c r="F7">
        <v>2020</v>
      </c>
      <c r="G7">
        <v>1</v>
      </c>
      <c r="H7" t="s">
        <v>1777</v>
      </c>
    </row>
    <row r="8" spans="1:8" x14ac:dyDescent="0.3">
      <c r="A8" s="13" t="str">
        <f t="shared" si="0"/>
        <v>IEEE_7</v>
      </c>
      <c r="B8" t="s">
        <v>1675</v>
      </c>
      <c r="C8" t="s">
        <v>1686</v>
      </c>
      <c r="D8" t="s">
        <v>1823</v>
      </c>
      <c r="E8" t="s">
        <v>1737</v>
      </c>
      <c r="F8">
        <v>2023</v>
      </c>
      <c r="G8">
        <v>8</v>
      </c>
      <c r="H8" t="s">
        <v>1771</v>
      </c>
    </row>
    <row r="9" spans="1:8" x14ac:dyDescent="0.3">
      <c r="A9" s="13" t="str">
        <f t="shared" si="0"/>
        <v>IEEE_8</v>
      </c>
      <c r="B9" t="s">
        <v>1676</v>
      </c>
      <c r="C9" t="s">
        <v>1687</v>
      </c>
      <c r="D9" t="s">
        <v>1824</v>
      </c>
      <c r="E9" t="s">
        <v>1738</v>
      </c>
      <c r="F9">
        <v>2022</v>
      </c>
      <c r="G9">
        <v>0</v>
      </c>
      <c r="H9" t="s">
        <v>1772</v>
      </c>
    </row>
    <row r="10" spans="1:8" x14ac:dyDescent="0.3">
      <c r="A10" s="13" t="str">
        <f t="shared" si="0"/>
        <v>IEEE_9</v>
      </c>
      <c r="B10" t="s">
        <v>1492</v>
      </c>
      <c r="C10" t="s">
        <v>1688</v>
      </c>
      <c r="D10" t="s">
        <v>1825</v>
      </c>
      <c r="E10" t="s">
        <v>1739</v>
      </c>
      <c r="F10">
        <v>2021</v>
      </c>
      <c r="G10">
        <v>0</v>
      </c>
      <c r="H10" t="s">
        <v>1773</v>
      </c>
    </row>
    <row r="11" spans="1:8" x14ac:dyDescent="0.3">
      <c r="A11" s="13" t="str">
        <f t="shared" si="0"/>
        <v>IEEE_10</v>
      </c>
      <c r="B11" t="s">
        <v>449</v>
      </c>
      <c r="C11" t="s">
        <v>1705</v>
      </c>
      <c r="D11" t="s">
        <v>1841</v>
      </c>
      <c r="E11" t="s">
        <v>564</v>
      </c>
      <c r="F11">
        <v>2021</v>
      </c>
      <c r="G11">
        <v>20</v>
      </c>
      <c r="H11" t="s">
        <v>1790</v>
      </c>
    </row>
    <row r="12" spans="1:8" x14ac:dyDescent="0.3">
      <c r="A12" s="13" t="str">
        <f t="shared" si="0"/>
        <v>IEEE_11</v>
      </c>
      <c r="B12" t="s">
        <v>442</v>
      </c>
      <c r="C12" t="s">
        <v>1691</v>
      </c>
      <c r="D12" t="s">
        <v>1828</v>
      </c>
      <c r="E12" t="s">
        <v>557</v>
      </c>
      <c r="F12">
        <v>2021</v>
      </c>
      <c r="G12">
        <v>2</v>
      </c>
      <c r="H12" t="s">
        <v>1776</v>
      </c>
    </row>
    <row r="13" spans="1:8" x14ac:dyDescent="0.3">
      <c r="A13" s="13" t="str">
        <f t="shared" si="0"/>
        <v>IEEE_12</v>
      </c>
      <c r="B13" t="s">
        <v>1680</v>
      </c>
      <c r="C13" t="s">
        <v>1701</v>
      </c>
      <c r="D13" t="s">
        <v>1838</v>
      </c>
      <c r="E13" t="s">
        <v>1748</v>
      </c>
      <c r="F13">
        <v>2021</v>
      </c>
      <c r="G13">
        <v>1</v>
      </c>
      <c r="H13" t="s">
        <v>1786</v>
      </c>
    </row>
    <row r="14" spans="1:8" x14ac:dyDescent="0.3">
      <c r="A14" s="13" t="str">
        <f t="shared" si="0"/>
        <v>IEEE_13</v>
      </c>
      <c r="B14" t="s">
        <v>465</v>
      </c>
      <c r="C14" t="s">
        <v>1693</v>
      </c>
      <c r="D14" t="s">
        <v>1830</v>
      </c>
      <c r="E14" t="s">
        <v>581</v>
      </c>
      <c r="F14">
        <v>2023</v>
      </c>
      <c r="G14">
        <v>3</v>
      </c>
      <c r="H14" t="s">
        <v>1778</v>
      </c>
    </row>
    <row r="15" spans="1:8" x14ac:dyDescent="0.3">
      <c r="A15" s="13" t="str">
        <f t="shared" si="0"/>
        <v>IEEE_14</v>
      </c>
      <c r="B15" t="s">
        <v>812</v>
      </c>
      <c r="C15" t="s">
        <v>1694</v>
      </c>
      <c r="D15" t="s">
        <v>1831</v>
      </c>
      <c r="E15" t="s">
        <v>1742</v>
      </c>
      <c r="F15">
        <v>2024</v>
      </c>
      <c r="G15">
        <v>0</v>
      </c>
      <c r="H15" t="s">
        <v>1779</v>
      </c>
    </row>
    <row r="16" spans="1:8" x14ac:dyDescent="0.3">
      <c r="A16" s="13" t="str">
        <f t="shared" si="0"/>
        <v>IEEE_15</v>
      </c>
      <c r="B16" t="s">
        <v>1679</v>
      </c>
      <c r="C16" t="s">
        <v>1697</v>
      </c>
      <c r="D16" t="s">
        <v>1834</v>
      </c>
      <c r="E16" t="s">
        <v>1744</v>
      </c>
      <c r="F16">
        <v>2024</v>
      </c>
      <c r="G16">
        <v>0</v>
      </c>
      <c r="H16" t="s">
        <v>1782</v>
      </c>
    </row>
    <row r="17" spans="1:8" x14ac:dyDescent="0.3">
      <c r="A17" s="13" t="str">
        <f t="shared" si="0"/>
        <v>IEEE_16</v>
      </c>
      <c r="B17" t="s">
        <v>455</v>
      </c>
      <c r="C17" t="s">
        <v>1698</v>
      </c>
      <c r="D17" t="s">
        <v>1835</v>
      </c>
      <c r="E17" t="s">
        <v>1745</v>
      </c>
      <c r="F17">
        <v>2021</v>
      </c>
      <c r="G17">
        <v>14</v>
      </c>
      <c r="H17" t="s">
        <v>1783</v>
      </c>
    </row>
    <row r="18" spans="1:8" x14ac:dyDescent="0.3">
      <c r="A18" s="13" t="str">
        <f t="shared" si="0"/>
        <v>IEEE_17</v>
      </c>
      <c r="B18" t="s">
        <v>1191</v>
      </c>
      <c r="C18" t="s">
        <v>1700</v>
      </c>
      <c r="D18" t="s">
        <v>1837</v>
      </c>
      <c r="E18" t="s">
        <v>1747</v>
      </c>
      <c r="F18">
        <v>2022</v>
      </c>
      <c r="G18">
        <v>3</v>
      </c>
      <c r="H18" t="s">
        <v>1785</v>
      </c>
    </row>
    <row r="19" spans="1:8" x14ac:dyDescent="0.3">
      <c r="A19" s="13" t="str">
        <f t="shared" si="0"/>
        <v>IEEE_18</v>
      </c>
      <c r="B19" t="s">
        <v>751</v>
      </c>
      <c r="C19" t="s">
        <v>1716</v>
      </c>
      <c r="D19" t="s">
        <v>1851</v>
      </c>
      <c r="E19" t="s">
        <v>636</v>
      </c>
      <c r="F19">
        <v>2024</v>
      </c>
      <c r="G19">
        <v>0</v>
      </c>
      <c r="H19" t="s">
        <v>1801</v>
      </c>
    </row>
    <row r="20" spans="1:8" x14ac:dyDescent="0.3">
      <c r="A20" s="13" t="str">
        <f t="shared" si="0"/>
        <v>IEEE_19</v>
      </c>
      <c r="B20" t="s">
        <v>1177</v>
      </c>
      <c r="C20" t="s">
        <v>1690</v>
      </c>
      <c r="D20" t="s">
        <v>1827</v>
      </c>
      <c r="E20" t="s">
        <v>1740</v>
      </c>
      <c r="F20">
        <v>2022</v>
      </c>
      <c r="G20">
        <v>0</v>
      </c>
      <c r="H20" t="s">
        <v>1775</v>
      </c>
    </row>
    <row r="21" spans="1:8" x14ac:dyDescent="0.3">
      <c r="A21" s="13" t="str">
        <f t="shared" si="0"/>
        <v>IEEE_20</v>
      </c>
      <c r="B21" t="s">
        <v>1445</v>
      </c>
      <c r="C21" t="s">
        <v>1703</v>
      </c>
      <c r="D21" t="s">
        <v>1839</v>
      </c>
      <c r="E21" t="s">
        <v>1750</v>
      </c>
      <c r="F21">
        <v>2021</v>
      </c>
      <c r="G21">
        <v>0</v>
      </c>
      <c r="H21" t="s">
        <v>1788</v>
      </c>
    </row>
    <row r="22" spans="1:8" x14ac:dyDescent="0.3">
      <c r="A22" s="13" t="str">
        <f t="shared" si="0"/>
        <v>IEEE_21</v>
      </c>
      <c r="B22" t="s">
        <v>1079</v>
      </c>
      <c r="C22" t="s">
        <v>1718</v>
      </c>
      <c r="D22" t="s">
        <v>1853</v>
      </c>
      <c r="E22" t="s">
        <v>1757</v>
      </c>
      <c r="F22">
        <v>2023</v>
      </c>
      <c r="G22">
        <v>0</v>
      </c>
      <c r="H22" t="s">
        <v>1803</v>
      </c>
    </row>
    <row r="23" spans="1:8" x14ac:dyDescent="0.3">
      <c r="A23" s="13" t="str">
        <f t="shared" si="0"/>
        <v>IEEE_22</v>
      </c>
      <c r="B23" t="s">
        <v>1678</v>
      </c>
      <c r="C23" t="s">
        <v>1696</v>
      </c>
      <c r="D23" t="s">
        <v>1833</v>
      </c>
      <c r="E23" t="s">
        <v>1743</v>
      </c>
      <c r="F23">
        <v>2024</v>
      </c>
      <c r="G23">
        <v>0</v>
      </c>
      <c r="H23" t="s">
        <v>1781</v>
      </c>
    </row>
    <row r="24" spans="1:8" x14ac:dyDescent="0.3">
      <c r="A24" s="13" t="str">
        <f t="shared" si="0"/>
        <v>IEEE_23</v>
      </c>
      <c r="B24" t="s">
        <v>1877</v>
      </c>
      <c r="C24" t="s">
        <v>1879</v>
      </c>
      <c r="D24" t="s">
        <v>1886</v>
      </c>
      <c r="E24" t="s">
        <v>1881</v>
      </c>
      <c r="F24">
        <v>2024</v>
      </c>
      <c r="G24">
        <v>0</v>
      </c>
      <c r="H24" t="s">
        <v>1884</v>
      </c>
    </row>
    <row r="25" spans="1:8" x14ac:dyDescent="0.3">
      <c r="A25" s="13" t="str">
        <f t="shared" si="0"/>
        <v>IEEE_24</v>
      </c>
      <c r="B25" t="s">
        <v>443</v>
      </c>
      <c r="C25" t="s">
        <v>1695</v>
      </c>
      <c r="D25" t="s">
        <v>1832</v>
      </c>
      <c r="E25" t="s">
        <v>558</v>
      </c>
      <c r="F25">
        <v>2023</v>
      </c>
      <c r="G25">
        <v>2</v>
      </c>
      <c r="H25" t="s">
        <v>1780</v>
      </c>
    </row>
    <row r="26" spans="1:8" x14ac:dyDescent="0.3">
      <c r="A26" s="13" t="str">
        <f t="shared" si="0"/>
        <v>IEEE_25</v>
      </c>
      <c r="B26" t="s">
        <v>43</v>
      </c>
      <c r="C26" t="s">
        <v>647</v>
      </c>
      <c r="D26" t="s">
        <v>29</v>
      </c>
      <c r="E26" t="s">
        <v>45</v>
      </c>
      <c r="F26">
        <v>2024</v>
      </c>
      <c r="G26">
        <v>0</v>
      </c>
      <c r="H26" t="s">
        <v>47</v>
      </c>
    </row>
    <row r="27" spans="1:8" x14ac:dyDescent="0.3">
      <c r="A27" s="13" t="str">
        <f t="shared" si="0"/>
        <v>IEEE_26</v>
      </c>
      <c r="B27" t="s">
        <v>463</v>
      </c>
      <c r="C27" t="s">
        <v>1699</v>
      </c>
      <c r="D27" t="s">
        <v>1836</v>
      </c>
      <c r="E27" t="s">
        <v>1746</v>
      </c>
      <c r="F27">
        <v>2023</v>
      </c>
      <c r="G27">
        <v>5</v>
      </c>
      <c r="H27" t="s">
        <v>1784</v>
      </c>
    </row>
    <row r="28" spans="1:8" x14ac:dyDescent="0.3">
      <c r="A28" s="13" t="str">
        <f t="shared" si="0"/>
        <v>IEEE_27</v>
      </c>
      <c r="B28" t="s">
        <v>452</v>
      </c>
      <c r="C28" t="s">
        <v>1702</v>
      </c>
      <c r="D28" t="s">
        <v>29</v>
      </c>
      <c r="E28" t="s">
        <v>1749</v>
      </c>
      <c r="F28">
        <v>2023</v>
      </c>
      <c r="G28">
        <v>1</v>
      </c>
      <c r="H28" t="s">
        <v>1787</v>
      </c>
    </row>
    <row r="29" spans="1:8" x14ac:dyDescent="0.3">
      <c r="A29" s="13" t="str">
        <f t="shared" si="0"/>
        <v>IEEE_28</v>
      </c>
      <c r="B29" t="s">
        <v>1042</v>
      </c>
      <c r="C29" t="s">
        <v>1710</v>
      </c>
      <c r="D29" t="s">
        <v>1846</v>
      </c>
      <c r="E29" t="s">
        <v>1753</v>
      </c>
      <c r="F29">
        <v>2023</v>
      </c>
      <c r="G29">
        <v>0</v>
      </c>
      <c r="H29" t="s">
        <v>1795</v>
      </c>
    </row>
    <row r="30" spans="1:8" x14ac:dyDescent="0.3">
      <c r="A30" s="13" t="str">
        <f t="shared" si="0"/>
        <v>IEEE_29</v>
      </c>
      <c r="B30" t="s">
        <v>507</v>
      </c>
      <c r="C30" t="s">
        <v>1715</v>
      </c>
      <c r="D30" t="s">
        <v>1850</v>
      </c>
      <c r="E30" t="s">
        <v>619</v>
      </c>
      <c r="F30">
        <v>2022</v>
      </c>
      <c r="G30">
        <v>2</v>
      </c>
      <c r="H30" t="s">
        <v>1800</v>
      </c>
    </row>
    <row r="31" spans="1:8" x14ac:dyDescent="0.3">
      <c r="A31" s="13" t="str">
        <f t="shared" si="0"/>
        <v>IEEE_30</v>
      </c>
      <c r="B31" t="s">
        <v>44</v>
      </c>
      <c r="C31" t="s">
        <v>649</v>
      </c>
      <c r="D31" t="s">
        <v>29</v>
      </c>
      <c r="E31" t="s">
        <v>46</v>
      </c>
      <c r="F31">
        <v>2024</v>
      </c>
      <c r="G31">
        <v>0</v>
      </c>
      <c r="H31" t="s">
        <v>49</v>
      </c>
    </row>
    <row r="32" spans="1:8" x14ac:dyDescent="0.3">
      <c r="A32" s="13" t="str">
        <f t="shared" si="0"/>
        <v>IEEE_31</v>
      </c>
      <c r="B32" t="s">
        <v>806</v>
      </c>
      <c r="C32" t="s">
        <v>1709</v>
      </c>
      <c r="D32" t="s">
        <v>1845</v>
      </c>
      <c r="E32" t="s">
        <v>1752</v>
      </c>
      <c r="F32">
        <v>2024</v>
      </c>
      <c r="G32">
        <v>0</v>
      </c>
      <c r="H32" t="s">
        <v>1794</v>
      </c>
    </row>
    <row r="33" spans="1:8" x14ac:dyDescent="0.3">
      <c r="A33" s="13" t="str">
        <f t="shared" si="0"/>
        <v>IEEE_32</v>
      </c>
      <c r="B33" t="s">
        <v>471</v>
      </c>
      <c r="C33" t="s">
        <v>1704</v>
      </c>
      <c r="D33" t="s">
        <v>1840</v>
      </c>
      <c r="E33" t="s">
        <v>587</v>
      </c>
      <c r="F33">
        <v>2020</v>
      </c>
      <c r="G33">
        <v>24</v>
      </c>
      <c r="H33" t="s">
        <v>1789</v>
      </c>
    </row>
    <row r="34" spans="1:8" x14ac:dyDescent="0.3">
      <c r="A34" s="13" t="str">
        <f t="shared" ref="A34:A58" si="1">"IEEE_" &amp; ROW()-1</f>
        <v>IEEE_33</v>
      </c>
      <c r="B34" t="s">
        <v>464</v>
      </c>
      <c r="C34" t="s">
        <v>1706</v>
      </c>
      <c r="D34" t="s">
        <v>1842</v>
      </c>
      <c r="E34" t="s">
        <v>580</v>
      </c>
      <c r="F34">
        <v>2021</v>
      </c>
      <c r="G34">
        <v>1</v>
      </c>
      <c r="H34" t="s">
        <v>1791</v>
      </c>
    </row>
    <row r="35" spans="1:8" x14ac:dyDescent="0.3">
      <c r="A35" s="13" t="str">
        <f t="shared" si="1"/>
        <v>IEEE_34</v>
      </c>
      <c r="B35" t="s">
        <v>1878</v>
      </c>
      <c r="C35" t="s">
        <v>1880</v>
      </c>
      <c r="D35" t="s">
        <v>1887</v>
      </c>
      <c r="E35" t="s">
        <v>1882</v>
      </c>
      <c r="F35">
        <v>2024</v>
      </c>
      <c r="G35">
        <v>0</v>
      </c>
      <c r="H35" t="s">
        <v>1885</v>
      </c>
    </row>
    <row r="36" spans="1:8" x14ac:dyDescent="0.3">
      <c r="A36" s="13" t="str">
        <f t="shared" si="1"/>
        <v>IEEE_35</v>
      </c>
      <c r="B36" t="s">
        <v>756</v>
      </c>
      <c r="C36" t="s">
        <v>1707</v>
      </c>
      <c r="D36" t="s">
        <v>1843</v>
      </c>
      <c r="E36" t="s">
        <v>1751</v>
      </c>
      <c r="F36">
        <v>2024</v>
      </c>
      <c r="G36">
        <v>0</v>
      </c>
      <c r="H36" t="s">
        <v>1792</v>
      </c>
    </row>
    <row r="37" spans="1:8" x14ac:dyDescent="0.3">
      <c r="A37" s="13" t="str">
        <f t="shared" si="1"/>
        <v>IEEE_36</v>
      </c>
      <c r="B37" t="s">
        <v>1543</v>
      </c>
      <c r="C37" t="s">
        <v>1713</v>
      </c>
      <c r="D37" t="s">
        <v>1849</v>
      </c>
      <c r="E37" t="s">
        <v>635</v>
      </c>
      <c r="F37">
        <v>2020</v>
      </c>
      <c r="G37">
        <v>78</v>
      </c>
      <c r="H37" t="s">
        <v>1798</v>
      </c>
    </row>
    <row r="38" spans="1:8" x14ac:dyDescent="0.3">
      <c r="A38" s="13" t="str">
        <f t="shared" si="1"/>
        <v>IEEE_37</v>
      </c>
      <c r="B38" t="s">
        <v>512</v>
      </c>
      <c r="C38" t="s">
        <v>1726</v>
      </c>
      <c r="D38" t="s">
        <v>1860</v>
      </c>
      <c r="E38" t="s">
        <v>1762</v>
      </c>
      <c r="F38">
        <v>2021</v>
      </c>
      <c r="G38">
        <v>4</v>
      </c>
      <c r="H38" t="s">
        <v>1811</v>
      </c>
    </row>
    <row r="39" spans="1:8" x14ac:dyDescent="0.3">
      <c r="A39" s="13" t="str">
        <f t="shared" si="1"/>
        <v>IEEE_38</v>
      </c>
      <c r="B39" t="s">
        <v>526</v>
      </c>
      <c r="C39" t="s">
        <v>1727</v>
      </c>
      <c r="D39" t="s">
        <v>1861</v>
      </c>
      <c r="E39" t="s">
        <v>1763</v>
      </c>
      <c r="F39">
        <v>2020</v>
      </c>
      <c r="G39">
        <v>2</v>
      </c>
      <c r="H39" t="s">
        <v>1812</v>
      </c>
    </row>
    <row r="40" spans="1:8" x14ac:dyDescent="0.3">
      <c r="A40" s="13" t="str">
        <f t="shared" si="1"/>
        <v>IEEE_39</v>
      </c>
      <c r="B40" t="s">
        <v>510</v>
      </c>
      <c r="C40" t="s">
        <v>1732</v>
      </c>
      <c r="D40" t="s">
        <v>1865</v>
      </c>
      <c r="E40" t="s">
        <v>1766</v>
      </c>
      <c r="F40">
        <v>2024</v>
      </c>
      <c r="G40">
        <v>0</v>
      </c>
      <c r="H40" t="s">
        <v>1817</v>
      </c>
    </row>
    <row r="41" spans="1:8" x14ac:dyDescent="0.3">
      <c r="A41" s="13" t="str">
        <f t="shared" si="1"/>
        <v>IEEE_40</v>
      </c>
      <c r="B41" t="s">
        <v>434</v>
      </c>
      <c r="C41" t="s">
        <v>1708</v>
      </c>
      <c r="D41" t="s">
        <v>1844</v>
      </c>
      <c r="E41" t="s">
        <v>549</v>
      </c>
      <c r="F41">
        <v>2024</v>
      </c>
      <c r="G41">
        <v>0</v>
      </c>
      <c r="H41" t="s">
        <v>1793</v>
      </c>
    </row>
    <row r="42" spans="1:8" x14ac:dyDescent="0.3">
      <c r="A42" s="13" t="str">
        <f t="shared" si="1"/>
        <v>IEEE_41</v>
      </c>
      <c r="B42" t="s">
        <v>1681</v>
      </c>
      <c r="C42" t="s">
        <v>1717</v>
      </c>
      <c r="D42" t="s">
        <v>1852</v>
      </c>
      <c r="E42" t="s">
        <v>1756</v>
      </c>
      <c r="F42">
        <v>2024</v>
      </c>
      <c r="G42">
        <v>0</v>
      </c>
      <c r="H42" t="s">
        <v>1802</v>
      </c>
    </row>
    <row r="43" spans="1:8" x14ac:dyDescent="0.3">
      <c r="A43" s="13" t="str">
        <f t="shared" si="1"/>
        <v>IEEE_42</v>
      </c>
      <c r="B43" t="s">
        <v>1038</v>
      </c>
      <c r="C43" t="s">
        <v>1719</v>
      </c>
      <c r="D43" t="s">
        <v>29</v>
      </c>
      <c r="E43" t="s">
        <v>1758</v>
      </c>
      <c r="F43">
        <v>2023</v>
      </c>
      <c r="G43">
        <v>0</v>
      </c>
      <c r="H43" t="s">
        <v>1804</v>
      </c>
    </row>
    <row r="44" spans="1:8" x14ac:dyDescent="0.3">
      <c r="A44" s="13" t="str">
        <f t="shared" si="1"/>
        <v>IEEE_43</v>
      </c>
      <c r="B44" t="s">
        <v>487</v>
      </c>
      <c r="C44" t="s">
        <v>1711</v>
      </c>
      <c r="D44" t="s">
        <v>1847</v>
      </c>
      <c r="E44" t="s">
        <v>1754</v>
      </c>
      <c r="F44">
        <v>2023</v>
      </c>
      <c r="G44">
        <v>2</v>
      </c>
      <c r="H44" t="s">
        <v>1796</v>
      </c>
    </row>
    <row r="45" spans="1:8" x14ac:dyDescent="0.3">
      <c r="A45" s="13" t="str">
        <f t="shared" si="1"/>
        <v>IEEE_44</v>
      </c>
      <c r="B45" t="s">
        <v>24</v>
      </c>
      <c r="C45" t="s">
        <v>648</v>
      </c>
      <c r="D45" t="s">
        <v>50</v>
      </c>
      <c r="E45" t="s">
        <v>1883</v>
      </c>
      <c r="F45">
        <v>2023</v>
      </c>
      <c r="G45">
        <v>2</v>
      </c>
      <c r="H45" t="s">
        <v>48</v>
      </c>
    </row>
    <row r="46" spans="1:8" x14ac:dyDescent="0.3">
      <c r="A46" s="13" t="str">
        <f t="shared" si="1"/>
        <v>IEEE_45</v>
      </c>
      <c r="B46" t="s">
        <v>466</v>
      </c>
      <c r="C46" t="s">
        <v>1712</v>
      </c>
      <c r="D46" t="s">
        <v>1848</v>
      </c>
      <c r="E46" t="s">
        <v>1755</v>
      </c>
      <c r="F46">
        <v>2023</v>
      </c>
      <c r="G46">
        <v>0</v>
      </c>
      <c r="H46" t="s">
        <v>1797</v>
      </c>
    </row>
    <row r="47" spans="1:8" x14ac:dyDescent="0.3">
      <c r="A47" s="13" t="str">
        <f t="shared" si="1"/>
        <v>IEEE_46</v>
      </c>
      <c r="B47" t="s">
        <v>514</v>
      </c>
      <c r="C47" t="s">
        <v>1723</v>
      </c>
      <c r="D47" t="s">
        <v>1857</v>
      </c>
      <c r="E47" t="s">
        <v>1761</v>
      </c>
      <c r="F47">
        <v>2023</v>
      </c>
      <c r="G47">
        <v>6</v>
      </c>
      <c r="H47" t="s">
        <v>1808</v>
      </c>
    </row>
    <row r="48" spans="1:8" x14ac:dyDescent="0.3">
      <c r="A48" s="13" t="str">
        <f t="shared" si="1"/>
        <v>IEEE_47</v>
      </c>
      <c r="B48" t="s">
        <v>527</v>
      </c>
      <c r="C48" t="s">
        <v>1725</v>
      </c>
      <c r="D48" t="s">
        <v>1859</v>
      </c>
      <c r="E48" t="s">
        <v>639</v>
      </c>
      <c r="F48">
        <v>2022</v>
      </c>
      <c r="G48">
        <v>4</v>
      </c>
      <c r="H48" t="s">
        <v>1810</v>
      </c>
    </row>
    <row r="49" spans="1:8" x14ac:dyDescent="0.3">
      <c r="A49" s="13" t="str">
        <f t="shared" si="1"/>
        <v>IEEE_48</v>
      </c>
      <c r="B49" t="s">
        <v>1261</v>
      </c>
      <c r="C49" t="s">
        <v>1730</v>
      </c>
      <c r="D49" t="s">
        <v>1863</v>
      </c>
      <c r="E49" t="s">
        <v>1764</v>
      </c>
      <c r="F49">
        <v>2022</v>
      </c>
      <c r="G49">
        <v>1</v>
      </c>
      <c r="H49" t="s">
        <v>1815</v>
      </c>
    </row>
    <row r="50" spans="1:8" x14ac:dyDescent="0.3">
      <c r="A50" s="13" t="str">
        <f t="shared" si="1"/>
        <v>IEEE_49</v>
      </c>
      <c r="B50" t="s">
        <v>531</v>
      </c>
      <c r="C50" t="s">
        <v>1714</v>
      </c>
      <c r="D50" t="s">
        <v>29</v>
      </c>
      <c r="E50" t="s">
        <v>643</v>
      </c>
      <c r="F50">
        <v>2023</v>
      </c>
      <c r="G50">
        <v>4</v>
      </c>
      <c r="H50" t="s">
        <v>1799</v>
      </c>
    </row>
    <row r="51" spans="1:8" x14ac:dyDescent="0.3">
      <c r="A51" s="13" t="str">
        <f t="shared" si="1"/>
        <v>IEEE_50</v>
      </c>
      <c r="B51" t="s">
        <v>503</v>
      </c>
      <c r="C51" t="s">
        <v>1720</v>
      </c>
      <c r="D51" t="s">
        <v>1854</v>
      </c>
      <c r="E51" t="s">
        <v>1759</v>
      </c>
      <c r="F51">
        <v>2020</v>
      </c>
      <c r="G51">
        <v>23</v>
      </c>
      <c r="H51" t="s">
        <v>1805</v>
      </c>
    </row>
    <row r="52" spans="1:8" x14ac:dyDescent="0.3">
      <c r="A52" s="13" t="str">
        <f t="shared" si="1"/>
        <v>IEEE_51</v>
      </c>
      <c r="B52" t="s">
        <v>485</v>
      </c>
      <c r="C52" t="s">
        <v>1721</v>
      </c>
      <c r="D52" t="s">
        <v>1855</v>
      </c>
      <c r="E52" t="s">
        <v>1760</v>
      </c>
      <c r="F52">
        <v>2022</v>
      </c>
      <c r="G52">
        <v>7</v>
      </c>
      <c r="H52" t="s">
        <v>1806</v>
      </c>
    </row>
    <row r="53" spans="1:8" x14ac:dyDescent="0.3">
      <c r="A53" s="13" t="str">
        <f t="shared" si="1"/>
        <v>IEEE_52</v>
      </c>
      <c r="B53" t="s">
        <v>519</v>
      </c>
      <c r="C53" t="s">
        <v>1722</v>
      </c>
      <c r="D53" t="s">
        <v>1856</v>
      </c>
      <c r="E53" t="s">
        <v>631</v>
      </c>
      <c r="F53">
        <v>2022</v>
      </c>
      <c r="G53">
        <v>6</v>
      </c>
      <c r="H53" t="s">
        <v>1807</v>
      </c>
    </row>
    <row r="54" spans="1:8" x14ac:dyDescent="0.3">
      <c r="A54" s="13" t="str">
        <f t="shared" si="1"/>
        <v>IEEE_53</v>
      </c>
      <c r="B54" t="s">
        <v>532</v>
      </c>
      <c r="C54" t="s">
        <v>1724</v>
      </c>
      <c r="D54" t="s">
        <v>1858</v>
      </c>
      <c r="E54" t="s">
        <v>644</v>
      </c>
      <c r="F54">
        <v>2021</v>
      </c>
      <c r="G54">
        <v>5</v>
      </c>
      <c r="H54" t="s">
        <v>1809</v>
      </c>
    </row>
    <row r="55" spans="1:8" x14ac:dyDescent="0.3">
      <c r="A55" s="13" t="str">
        <f t="shared" si="1"/>
        <v>IEEE_54</v>
      </c>
      <c r="B55" t="s">
        <v>509</v>
      </c>
      <c r="C55" t="s">
        <v>1728</v>
      </c>
      <c r="D55" t="s">
        <v>1862</v>
      </c>
      <c r="E55" t="s">
        <v>621</v>
      </c>
      <c r="F55">
        <v>2023</v>
      </c>
      <c r="G55">
        <v>2</v>
      </c>
      <c r="H55" t="s">
        <v>1813</v>
      </c>
    </row>
    <row r="56" spans="1:8" x14ac:dyDescent="0.3">
      <c r="A56" s="13" t="str">
        <f t="shared" si="1"/>
        <v>IEEE_55</v>
      </c>
      <c r="B56" t="s">
        <v>481</v>
      </c>
      <c r="C56" t="s">
        <v>1729</v>
      </c>
      <c r="D56" t="s">
        <v>29</v>
      </c>
      <c r="E56" t="s">
        <v>596</v>
      </c>
      <c r="F56">
        <v>2021</v>
      </c>
      <c r="G56">
        <v>1</v>
      </c>
      <c r="H56" t="s">
        <v>1814</v>
      </c>
    </row>
    <row r="57" spans="1:8" x14ac:dyDescent="0.3">
      <c r="A57" s="13" t="str">
        <f t="shared" si="1"/>
        <v>IEEE_56</v>
      </c>
      <c r="B57" t="s">
        <v>791</v>
      </c>
      <c r="C57" t="s">
        <v>1731</v>
      </c>
      <c r="D57" t="s">
        <v>1864</v>
      </c>
      <c r="E57" t="s">
        <v>1765</v>
      </c>
      <c r="F57">
        <v>2024</v>
      </c>
      <c r="G57">
        <v>0</v>
      </c>
      <c r="H57" t="s">
        <v>1816</v>
      </c>
    </row>
    <row r="58" spans="1:8" x14ac:dyDescent="0.3">
      <c r="A58" s="13" t="str">
        <f t="shared" si="1"/>
        <v>IEEE_57</v>
      </c>
      <c r="B58" t="s">
        <v>525</v>
      </c>
      <c r="C58" t="s">
        <v>1733</v>
      </c>
      <c r="D58" t="s">
        <v>1866</v>
      </c>
      <c r="E58" t="s">
        <v>637</v>
      </c>
      <c r="F58">
        <v>2024</v>
      </c>
      <c r="G58">
        <v>0</v>
      </c>
      <c r="H58" t="s">
        <v>1818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CE87-53D1-4D8E-8054-2A13E5189CE7}">
  <sheetPr codeName="Sheet5"/>
  <dimension ref="A1:H295"/>
  <sheetViews>
    <sheetView topLeftCell="A248" workbookViewId="0">
      <selection activeCell="A2" sqref="A2:H295"/>
    </sheetView>
  </sheetViews>
  <sheetFormatPr defaultRowHeight="14.4" x14ac:dyDescent="0.3"/>
  <cols>
    <col min="1" max="1" width="14" customWidth="1"/>
    <col min="2" max="2" width="75.88671875" customWidth="1"/>
    <col min="3" max="3" width="25.6640625" customWidth="1"/>
    <col min="4" max="4" width="25.88671875" customWidth="1"/>
    <col min="5" max="5" width="75" customWidth="1"/>
    <col min="6" max="6" width="23.88671875" customWidth="1"/>
    <col min="7" max="7" width="19.88671875" customWidth="1"/>
    <col min="8" max="8" width="47.33203125" customWidth="1"/>
  </cols>
  <sheetData>
    <row r="1" spans="1:8" x14ac:dyDescent="0.3">
      <c r="A1" s="9" t="s">
        <v>40</v>
      </c>
      <c r="B1" s="10" t="s">
        <v>16</v>
      </c>
      <c r="C1" s="10" t="s">
        <v>8</v>
      </c>
      <c r="D1" s="10" t="s">
        <v>28</v>
      </c>
      <c r="E1" s="10" t="s">
        <v>30</v>
      </c>
      <c r="F1" s="11" t="s">
        <v>38</v>
      </c>
      <c r="G1" s="11" t="s">
        <v>39</v>
      </c>
      <c r="H1" s="12" t="s">
        <v>51</v>
      </c>
    </row>
    <row r="2" spans="1:8" x14ac:dyDescent="0.3">
      <c r="A2" s="13" t="str">
        <f t="shared" ref="A2:A65" si="0">"Scopus_" &amp; ROW()-1</f>
        <v>Scopus_1</v>
      </c>
      <c r="B2" t="s">
        <v>477</v>
      </c>
      <c r="C2" s="24" t="s">
        <v>714</v>
      </c>
      <c r="D2" t="s">
        <v>717</v>
      </c>
      <c r="E2" t="s">
        <v>716</v>
      </c>
      <c r="F2">
        <v>2024</v>
      </c>
      <c r="G2">
        <v>3</v>
      </c>
      <c r="H2" t="s">
        <v>715</v>
      </c>
    </row>
    <row r="3" spans="1:8" x14ac:dyDescent="0.3">
      <c r="A3" s="13" t="str">
        <f t="shared" si="0"/>
        <v>Scopus_2</v>
      </c>
      <c r="B3" t="s">
        <v>510</v>
      </c>
      <c r="C3" t="s">
        <v>718</v>
      </c>
      <c r="D3" t="s">
        <v>721</v>
      </c>
      <c r="E3" t="s">
        <v>720</v>
      </c>
      <c r="F3">
        <v>2024</v>
      </c>
      <c r="G3">
        <v>1</v>
      </c>
      <c r="H3" t="s">
        <v>719</v>
      </c>
    </row>
    <row r="4" spans="1:8" x14ac:dyDescent="0.3">
      <c r="A4" s="13" t="str">
        <f t="shared" si="0"/>
        <v>Scopus_3</v>
      </c>
      <c r="B4" t="s">
        <v>19</v>
      </c>
      <c r="C4" t="s">
        <v>659</v>
      </c>
      <c r="D4" t="s">
        <v>138</v>
      </c>
      <c r="E4" t="s">
        <v>113</v>
      </c>
      <c r="F4">
        <v>2023</v>
      </c>
      <c r="G4">
        <v>0</v>
      </c>
      <c r="H4" t="s">
        <v>79</v>
      </c>
    </row>
    <row r="5" spans="1:8" x14ac:dyDescent="0.3">
      <c r="A5" s="13" t="str">
        <f t="shared" si="0"/>
        <v>Scopus_4</v>
      </c>
      <c r="B5" t="s">
        <v>531</v>
      </c>
      <c r="C5" t="s">
        <v>881</v>
      </c>
      <c r="D5" t="s">
        <v>29</v>
      </c>
      <c r="E5" t="s">
        <v>1888</v>
      </c>
      <c r="F5">
        <v>2023</v>
      </c>
      <c r="G5">
        <v>4</v>
      </c>
      <c r="H5" t="s">
        <v>882</v>
      </c>
    </row>
    <row r="6" spans="1:8" x14ac:dyDescent="0.3">
      <c r="A6" s="13" t="str">
        <f t="shared" si="0"/>
        <v>Scopus_5</v>
      </c>
      <c r="B6" t="s">
        <v>509</v>
      </c>
      <c r="C6" t="s">
        <v>883</v>
      </c>
      <c r="D6" t="s">
        <v>886</v>
      </c>
      <c r="E6" t="s">
        <v>885</v>
      </c>
      <c r="F6">
        <v>2023</v>
      </c>
      <c r="G6">
        <v>3</v>
      </c>
      <c r="H6" t="s">
        <v>884</v>
      </c>
    </row>
    <row r="7" spans="1:8" x14ac:dyDescent="0.3">
      <c r="A7" s="13" t="str">
        <f t="shared" si="0"/>
        <v>Scopus_6</v>
      </c>
      <c r="B7" t="s">
        <v>722</v>
      </c>
      <c r="C7" t="s">
        <v>29</v>
      </c>
      <c r="D7" t="s">
        <v>29</v>
      </c>
      <c r="E7" t="s">
        <v>724</v>
      </c>
      <c r="F7">
        <v>2024</v>
      </c>
      <c r="G7">
        <v>0</v>
      </c>
      <c r="H7" t="s">
        <v>723</v>
      </c>
    </row>
    <row r="8" spans="1:8" x14ac:dyDescent="0.3">
      <c r="A8" s="13" t="str">
        <f t="shared" si="0"/>
        <v>Scopus_7</v>
      </c>
      <c r="B8" t="s">
        <v>888</v>
      </c>
      <c r="C8" t="s">
        <v>887</v>
      </c>
      <c r="D8" t="s">
        <v>29</v>
      </c>
      <c r="E8" t="s">
        <v>890</v>
      </c>
      <c r="F8">
        <v>2024</v>
      </c>
      <c r="G8">
        <v>0</v>
      </c>
      <c r="H8" t="s">
        <v>889</v>
      </c>
    </row>
    <row r="9" spans="1:8" x14ac:dyDescent="0.3">
      <c r="A9" s="13" t="str">
        <f t="shared" si="0"/>
        <v>Scopus_8</v>
      </c>
      <c r="B9" t="s">
        <v>892</v>
      </c>
      <c r="C9" t="s">
        <v>891</v>
      </c>
      <c r="D9" t="s">
        <v>894</v>
      </c>
      <c r="E9" t="s">
        <v>1889</v>
      </c>
      <c r="F9">
        <v>2024</v>
      </c>
      <c r="G9">
        <v>1</v>
      </c>
      <c r="H9" t="s">
        <v>893</v>
      </c>
    </row>
    <row r="10" spans="1:8" x14ac:dyDescent="0.3">
      <c r="A10" s="13" t="str">
        <f t="shared" si="0"/>
        <v>Scopus_9</v>
      </c>
      <c r="B10" t="s">
        <v>445</v>
      </c>
      <c r="C10" t="s">
        <v>725</v>
      </c>
      <c r="D10" t="s">
        <v>728</v>
      </c>
      <c r="E10" t="s">
        <v>727</v>
      </c>
      <c r="F10">
        <v>2024</v>
      </c>
      <c r="G10">
        <v>0</v>
      </c>
      <c r="H10" t="s">
        <v>726</v>
      </c>
    </row>
    <row r="11" spans="1:8" x14ac:dyDescent="0.3">
      <c r="A11" s="13" t="str">
        <f t="shared" si="0"/>
        <v>Scopus_10</v>
      </c>
      <c r="B11" t="s">
        <v>458</v>
      </c>
      <c r="C11" t="s">
        <v>729</v>
      </c>
      <c r="D11" t="s">
        <v>732</v>
      </c>
      <c r="E11" t="s">
        <v>731</v>
      </c>
      <c r="F11">
        <v>2024</v>
      </c>
      <c r="G11">
        <v>1</v>
      </c>
      <c r="H11" t="s">
        <v>730</v>
      </c>
    </row>
    <row r="12" spans="1:8" x14ac:dyDescent="0.3">
      <c r="A12" s="13" t="str">
        <f t="shared" si="0"/>
        <v>Scopus_11</v>
      </c>
      <c r="B12" t="s">
        <v>1038</v>
      </c>
      <c r="C12" t="s">
        <v>1037</v>
      </c>
      <c r="D12" t="s">
        <v>29</v>
      </c>
      <c r="E12" t="s">
        <v>1040</v>
      </c>
      <c r="F12">
        <v>2023</v>
      </c>
      <c r="G12">
        <v>0</v>
      </c>
      <c r="H12" t="s">
        <v>1039</v>
      </c>
    </row>
    <row r="13" spans="1:8" x14ac:dyDescent="0.3">
      <c r="A13" s="13" t="str">
        <f t="shared" si="0"/>
        <v>Scopus_12</v>
      </c>
      <c r="B13" t="s">
        <v>1042</v>
      </c>
      <c r="C13" t="s">
        <v>1041</v>
      </c>
      <c r="D13" t="s">
        <v>1045</v>
      </c>
      <c r="E13" t="s">
        <v>1044</v>
      </c>
      <c r="F13">
        <v>2023</v>
      </c>
      <c r="G13">
        <v>0</v>
      </c>
      <c r="H13" t="s">
        <v>1043</v>
      </c>
    </row>
    <row r="14" spans="1:8" x14ac:dyDescent="0.3">
      <c r="A14" s="13" t="str">
        <f t="shared" si="0"/>
        <v>Scopus_13</v>
      </c>
      <c r="B14" t="s">
        <v>895</v>
      </c>
      <c r="C14" t="s">
        <v>29</v>
      </c>
      <c r="D14" t="s">
        <v>29</v>
      </c>
      <c r="E14" t="s">
        <v>897</v>
      </c>
      <c r="F14">
        <v>2024</v>
      </c>
      <c r="G14">
        <v>0</v>
      </c>
      <c r="H14" t="s">
        <v>896</v>
      </c>
    </row>
    <row r="15" spans="1:8" x14ac:dyDescent="0.3">
      <c r="A15" s="13" t="str">
        <f t="shared" si="0"/>
        <v>Scopus_14</v>
      </c>
      <c r="B15" t="s">
        <v>899</v>
      </c>
      <c r="C15" t="s">
        <v>898</v>
      </c>
      <c r="D15" t="s">
        <v>902</v>
      </c>
      <c r="E15" t="s">
        <v>901</v>
      </c>
      <c r="F15">
        <v>2023</v>
      </c>
      <c r="G15">
        <v>10</v>
      </c>
      <c r="H15" t="s">
        <v>900</v>
      </c>
    </row>
    <row r="16" spans="1:8" x14ac:dyDescent="0.3">
      <c r="A16" s="13" t="str">
        <f t="shared" si="0"/>
        <v>Scopus_15</v>
      </c>
      <c r="B16" t="s">
        <v>470</v>
      </c>
      <c r="C16" t="s">
        <v>733</v>
      </c>
      <c r="D16" t="s">
        <v>736</v>
      </c>
      <c r="E16" t="s">
        <v>735</v>
      </c>
      <c r="F16">
        <v>2024</v>
      </c>
      <c r="G16">
        <v>0</v>
      </c>
      <c r="H16" t="s">
        <v>734</v>
      </c>
    </row>
    <row r="17" spans="1:8" x14ac:dyDescent="0.3">
      <c r="A17" s="13" t="str">
        <f t="shared" si="0"/>
        <v>Scopus_16</v>
      </c>
      <c r="B17" t="s">
        <v>496</v>
      </c>
      <c r="C17" t="s">
        <v>903</v>
      </c>
      <c r="D17" t="s">
        <v>905</v>
      </c>
      <c r="E17" t="s">
        <v>1890</v>
      </c>
      <c r="F17">
        <v>2024</v>
      </c>
      <c r="G17">
        <v>0</v>
      </c>
      <c r="H17" t="s">
        <v>904</v>
      </c>
    </row>
    <row r="18" spans="1:8" x14ac:dyDescent="0.3">
      <c r="A18" s="13" t="str">
        <f t="shared" si="0"/>
        <v>Scopus_17</v>
      </c>
      <c r="B18" t="s">
        <v>907</v>
      </c>
      <c r="C18" t="s">
        <v>906</v>
      </c>
      <c r="D18" t="s">
        <v>910</v>
      </c>
      <c r="E18" t="s">
        <v>909</v>
      </c>
      <c r="F18">
        <v>2023</v>
      </c>
      <c r="G18">
        <v>4</v>
      </c>
      <c r="H18" t="s">
        <v>908</v>
      </c>
    </row>
    <row r="19" spans="1:8" x14ac:dyDescent="0.3">
      <c r="A19" s="13" t="str">
        <f t="shared" si="0"/>
        <v>Scopus_18</v>
      </c>
      <c r="B19" t="s">
        <v>508</v>
      </c>
      <c r="C19" t="s">
        <v>911</v>
      </c>
      <c r="D19" t="s">
        <v>29</v>
      </c>
      <c r="E19" t="s">
        <v>913</v>
      </c>
      <c r="F19">
        <v>2023</v>
      </c>
      <c r="G19">
        <v>5</v>
      </c>
      <c r="H19" t="s">
        <v>912</v>
      </c>
    </row>
    <row r="20" spans="1:8" x14ac:dyDescent="0.3">
      <c r="A20" s="13" t="str">
        <f t="shared" si="0"/>
        <v>Scopus_19</v>
      </c>
      <c r="B20" t="s">
        <v>916</v>
      </c>
      <c r="C20" t="s">
        <v>915</v>
      </c>
      <c r="D20" t="s">
        <v>919</v>
      </c>
      <c r="E20" t="s">
        <v>918</v>
      </c>
      <c r="F20">
        <v>2024</v>
      </c>
      <c r="G20">
        <v>1</v>
      </c>
      <c r="H20" t="s">
        <v>917</v>
      </c>
    </row>
    <row r="21" spans="1:8" x14ac:dyDescent="0.3">
      <c r="A21" s="13" t="str">
        <f t="shared" si="0"/>
        <v>Scopus_20</v>
      </c>
      <c r="B21" t="s">
        <v>454</v>
      </c>
      <c r="C21" t="s">
        <v>737</v>
      </c>
      <c r="D21" t="s">
        <v>740</v>
      </c>
      <c r="E21" t="s">
        <v>739</v>
      </c>
      <c r="F21">
        <v>2024</v>
      </c>
      <c r="G21">
        <v>2</v>
      </c>
      <c r="H21" t="s">
        <v>738</v>
      </c>
    </row>
    <row r="22" spans="1:8" x14ac:dyDescent="0.3">
      <c r="A22" s="13" t="str">
        <f t="shared" si="0"/>
        <v>Scopus_21</v>
      </c>
      <c r="B22" t="s">
        <v>741</v>
      </c>
      <c r="C22" t="s">
        <v>29</v>
      </c>
      <c r="D22" t="s">
        <v>29</v>
      </c>
      <c r="E22" t="s">
        <v>743</v>
      </c>
      <c r="F22">
        <v>2024</v>
      </c>
      <c r="G22">
        <v>0</v>
      </c>
      <c r="H22" t="s">
        <v>742</v>
      </c>
    </row>
    <row r="23" spans="1:8" x14ac:dyDescent="0.3">
      <c r="A23" s="13" t="str">
        <f t="shared" si="0"/>
        <v>Scopus_22</v>
      </c>
      <c r="B23" t="s">
        <v>1071</v>
      </c>
      <c r="C23" t="s">
        <v>1070</v>
      </c>
      <c r="D23" t="s">
        <v>29</v>
      </c>
      <c r="E23" t="s">
        <v>1073</v>
      </c>
      <c r="F23">
        <v>2023</v>
      </c>
      <c r="G23">
        <v>2</v>
      </c>
      <c r="H23" t="s">
        <v>1072</v>
      </c>
    </row>
    <row r="24" spans="1:8" x14ac:dyDescent="0.3">
      <c r="A24" s="13" t="str">
        <f t="shared" si="0"/>
        <v>Scopus_23</v>
      </c>
      <c r="B24" t="s">
        <v>528</v>
      </c>
      <c r="C24" t="s">
        <v>1074</v>
      </c>
      <c r="D24" t="s">
        <v>1077</v>
      </c>
      <c r="E24" t="s">
        <v>1076</v>
      </c>
      <c r="F24">
        <v>2023</v>
      </c>
      <c r="G24">
        <v>2</v>
      </c>
      <c r="H24" t="s">
        <v>1075</v>
      </c>
    </row>
    <row r="25" spans="1:8" x14ac:dyDescent="0.3">
      <c r="A25" s="13" t="str">
        <f t="shared" si="0"/>
        <v>Scopus_24</v>
      </c>
      <c r="B25" t="s">
        <v>1079</v>
      </c>
      <c r="C25" t="s">
        <v>1078</v>
      </c>
      <c r="D25" t="s">
        <v>1081</v>
      </c>
      <c r="E25" t="s">
        <v>1891</v>
      </c>
      <c r="F25">
        <v>2023</v>
      </c>
      <c r="G25">
        <v>0</v>
      </c>
      <c r="H25" t="s">
        <v>1080</v>
      </c>
    </row>
    <row r="26" spans="1:8" x14ac:dyDescent="0.3">
      <c r="A26" s="13" t="str">
        <f t="shared" si="0"/>
        <v>Scopus_25</v>
      </c>
      <c r="B26" t="s">
        <v>55</v>
      </c>
      <c r="C26" t="s">
        <v>657</v>
      </c>
      <c r="D26" t="s">
        <v>136</v>
      </c>
      <c r="E26" t="s">
        <v>111</v>
      </c>
      <c r="F26">
        <v>2024</v>
      </c>
      <c r="G26">
        <v>0</v>
      </c>
      <c r="H26" t="s">
        <v>77</v>
      </c>
    </row>
    <row r="27" spans="1:8" x14ac:dyDescent="0.3">
      <c r="A27" s="13" t="str">
        <f t="shared" si="0"/>
        <v>Scopus_26</v>
      </c>
      <c r="B27" t="s">
        <v>23</v>
      </c>
      <c r="C27" t="s">
        <v>650</v>
      </c>
      <c r="D27" t="s">
        <v>29</v>
      </c>
      <c r="E27" t="s">
        <v>105</v>
      </c>
      <c r="F27">
        <v>2024</v>
      </c>
      <c r="G27">
        <v>3</v>
      </c>
      <c r="H27" t="s">
        <v>70</v>
      </c>
    </row>
    <row r="28" spans="1:8" x14ac:dyDescent="0.3">
      <c r="A28" s="13" t="str">
        <f t="shared" si="0"/>
        <v>Scopus_27</v>
      </c>
      <c r="B28" t="s">
        <v>921</v>
      </c>
      <c r="C28" t="s">
        <v>920</v>
      </c>
      <c r="D28" t="s">
        <v>924</v>
      </c>
      <c r="E28" t="s">
        <v>923</v>
      </c>
      <c r="F28">
        <v>2023</v>
      </c>
      <c r="G28">
        <v>2</v>
      </c>
      <c r="H28" t="s">
        <v>922</v>
      </c>
    </row>
    <row r="29" spans="1:8" x14ac:dyDescent="0.3">
      <c r="A29" s="13" t="str">
        <f t="shared" si="0"/>
        <v>Scopus_28</v>
      </c>
      <c r="B29" t="s">
        <v>745</v>
      </c>
      <c r="C29" t="s">
        <v>744</v>
      </c>
      <c r="D29" t="s">
        <v>748</v>
      </c>
      <c r="E29" t="s">
        <v>747</v>
      </c>
      <c r="F29">
        <v>2024</v>
      </c>
      <c r="G29">
        <v>0</v>
      </c>
      <c r="H29" t="s">
        <v>746</v>
      </c>
    </row>
    <row r="30" spans="1:8" x14ac:dyDescent="0.3">
      <c r="A30" s="13" t="str">
        <f t="shared" si="0"/>
        <v>Scopus_29</v>
      </c>
      <c r="B30" t="s">
        <v>926</v>
      </c>
      <c r="C30" t="s">
        <v>925</v>
      </c>
      <c r="D30" t="s">
        <v>929</v>
      </c>
      <c r="E30" t="s">
        <v>928</v>
      </c>
      <c r="F30">
        <v>2023</v>
      </c>
      <c r="G30">
        <v>11</v>
      </c>
      <c r="H30" t="s">
        <v>927</v>
      </c>
    </row>
    <row r="31" spans="1:8" x14ac:dyDescent="0.3">
      <c r="A31" s="13" t="str">
        <f t="shared" si="0"/>
        <v>Scopus_30</v>
      </c>
      <c r="B31" t="s">
        <v>741</v>
      </c>
      <c r="C31" t="s">
        <v>29</v>
      </c>
      <c r="D31" t="s">
        <v>29</v>
      </c>
      <c r="E31" t="s">
        <v>743</v>
      </c>
      <c r="F31">
        <v>2024</v>
      </c>
      <c r="G31">
        <v>0</v>
      </c>
      <c r="H31" t="s">
        <v>749</v>
      </c>
    </row>
    <row r="32" spans="1:8" x14ac:dyDescent="0.3">
      <c r="A32" s="13" t="str">
        <f t="shared" si="0"/>
        <v>Scopus_31</v>
      </c>
      <c r="B32" t="s">
        <v>751</v>
      </c>
      <c r="C32" t="s">
        <v>750</v>
      </c>
      <c r="D32" t="s">
        <v>754</v>
      </c>
      <c r="E32" t="s">
        <v>753</v>
      </c>
      <c r="F32">
        <v>2024</v>
      </c>
      <c r="G32">
        <v>0</v>
      </c>
      <c r="H32" t="s">
        <v>752</v>
      </c>
    </row>
    <row r="33" spans="1:8" x14ac:dyDescent="0.3">
      <c r="A33" s="13" t="str">
        <f t="shared" si="0"/>
        <v>Scopus_32</v>
      </c>
      <c r="B33" t="s">
        <v>495</v>
      </c>
      <c r="C33" t="s">
        <v>930</v>
      </c>
      <c r="D33" t="s">
        <v>933</v>
      </c>
      <c r="E33" t="s">
        <v>932</v>
      </c>
      <c r="F33">
        <v>2023</v>
      </c>
      <c r="G33">
        <v>4</v>
      </c>
      <c r="H33" t="s">
        <v>931</v>
      </c>
    </row>
    <row r="34" spans="1:8" x14ac:dyDescent="0.3">
      <c r="A34" s="13" t="str">
        <f t="shared" si="0"/>
        <v>Scopus_33</v>
      </c>
      <c r="B34" t="s">
        <v>756</v>
      </c>
      <c r="C34" t="s">
        <v>755</v>
      </c>
      <c r="D34" t="s">
        <v>759</v>
      </c>
      <c r="E34" t="s">
        <v>758</v>
      </c>
      <c r="F34">
        <v>2024</v>
      </c>
      <c r="G34">
        <v>0</v>
      </c>
      <c r="H34" t="s">
        <v>757</v>
      </c>
    </row>
    <row r="35" spans="1:8" x14ac:dyDescent="0.3">
      <c r="A35" s="13" t="str">
        <f t="shared" si="0"/>
        <v>Scopus_34</v>
      </c>
      <c r="B35" t="s">
        <v>57</v>
      </c>
      <c r="C35" t="s">
        <v>660</v>
      </c>
      <c r="D35" t="s">
        <v>29</v>
      </c>
      <c r="E35" t="s">
        <v>114</v>
      </c>
      <c r="F35">
        <v>2023</v>
      </c>
      <c r="G35">
        <v>10</v>
      </c>
      <c r="H35" t="s">
        <v>80</v>
      </c>
    </row>
    <row r="36" spans="1:8" x14ac:dyDescent="0.3">
      <c r="A36" s="13" t="str">
        <f t="shared" si="0"/>
        <v>Scopus_35</v>
      </c>
      <c r="B36" t="s">
        <v>443</v>
      </c>
      <c r="C36" t="s">
        <v>934</v>
      </c>
      <c r="D36" t="s">
        <v>937</v>
      </c>
      <c r="E36" t="s">
        <v>936</v>
      </c>
      <c r="F36">
        <v>2023</v>
      </c>
      <c r="G36">
        <v>1</v>
      </c>
      <c r="H36" t="s">
        <v>935</v>
      </c>
    </row>
    <row r="37" spans="1:8" x14ac:dyDescent="0.3">
      <c r="A37" s="13" t="str">
        <f t="shared" si="0"/>
        <v>Scopus_36</v>
      </c>
      <c r="B37" t="s">
        <v>52</v>
      </c>
      <c r="C37" t="s">
        <v>651</v>
      </c>
      <c r="D37" t="s">
        <v>132</v>
      </c>
      <c r="E37" t="s">
        <v>106</v>
      </c>
      <c r="F37">
        <v>2024</v>
      </c>
      <c r="G37">
        <v>0</v>
      </c>
      <c r="H37" t="s">
        <v>71</v>
      </c>
    </row>
    <row r="38" spans="1:8" x14ac:dyDescent="0.3">
      <c r="A38" s="13" t="str">
        <f t="shared" si="0"/>
        <v>Scopus_37</v>
      </c>
      <c r="B38" t="s">
        <v>505</v>
      </c>
      <c r="C38" t="s">
        <v>938</v>
      </c>
      <c r="D38" t="s">
        <v>941</v>
      </c>
      <c r="E38" t="s">
        <v>940</v>
      </c>
      <c r="F38">
        <v>2023</v>
      </c>
      <c r="G38">
        <v>17</v>
      </c>
      <c r="H38" t="s">
        <v>939</v>
      </c>
    </row>
    <row r="39" spans="1:8" x14ac:dyDescent="0.3">
      <c r="A39" s="13" t="str">
        <f t="shared" si="0"/>
        <v>Scopus_38</v>
      </c>
      <c r="B39" t="s">
        <v>761</v>
      </c>
      <c r="C39" t="s">
        <v>760</v>
      </c>
      <c r="D39" t="s">
        <v>763</v>
      </c>
      <c r="E39" t="s">
        <v>1892</v>
      </c>
      <c r="F39">
        <v>2024</v>
      </c>
      <c r="G39">
        <v>0</v>
      </c>
      <c r="H39" t="s">
        <v>762</v>
      </c>
    </row>
    <row r="40" spans="1:8" x14ac:dyDescent="0.3">
      <c r="A40" s="13" t="str">
        <f t="shared" si="0"/>
        <v>Scopus_39</v>
      </c>
      <c r="B40" t="s">
        <v>440</v>
      </c>
      <c r="C40" t="s">
        <v>942</v>
      </c>
      <c r="D40" t="s">
        <v>29</v>
      </c>
      <c r="E40" t="s">
        <v>944</v>
      </c>
      <c r="F40">
        <v>2023</v>
      </c>
      <c r="G40">
        <v>1</v>
      </c>
      <c r="H40" t="s">
        <v>943</v>
      </c>
    </row>
    <row r="41" spans="1:8" x14ac:dyDescent="0.3">
      <c r="A41" s="13" t="str">
        <f t="shared" si="0"/>
        <v>Scopus_40</v>
      </c>
      <c r="B41" t="s">
        <v>1107</v>
      </c>
      <c r="C41" t="s">
        <v>1106</v>
      </c>
      <c r="D41" t="s">
        <v>29</v>
      </c>
      <c r="E41" t="s">
        <v>1109</v>
      </c>
      <c r="F41">
        <v>2023</v>
      </c>
      <c r="G41">
        <v>0</v>
      </c>
      <c r="H41" t="s">
        <v>1108</v>
      </c>
    </row>
    <row r="42" spans="1:8" x14ac:dyDescent="0.3">
      <c r="A42" s="13" t="str">
        <f t="shared" si="0"/>
        <v>Scopus_41</v>
      </c>
      <c r="B42" t="s">
        <v>764</v>
      </c>
      <c r="C42" t="s">
        <v>29</v>
      </c>
      <c r="D42" t="s">
        <v>29</v>
      </c>
      <c r="E42" t="s">
        <v>766</v>
      </c>
      <c r="F42">
        <v>2024</v>
      </c>
      <c r="G42">
        <v>0</v>
      </c>
      <c r="H42" t="s">
        <v>765</v>
      </c>
    </row>
    <row r="43" spans="1:8" x14ac:dyDescent="0.3">
      <c r="A43" s="13" t="str">
        <f t="shared" si="0"/>
        <v>Scopus_42</v>
      </c>
      <c r="B43" t="s">
        <v>768</v>
      </c>
      <c r="C43" t="s">
        <v>767</v>
      </c>
      <c r="D43" t="s">
        <v>771</v>
      </c>
      <c r="E43" t="s">
        <v>770</v>
      </c>
      <c r="F43">
        <v>2024</v>
      </c>
      <c r="G43">
        <v>2</v>
      </c>
      <c r="H43" t="s">
        <v>769</v>
      </c>
    </row>
    <row r="44" spans="1:8" x14ac:dyDescent="0.3">
      <c r="A44" s="13" t="str">
        <f t="shared" si="0"/>
        <v>Scopus_43</v>
      </c>
      <c r="B44" t="s">
        <v>773</v>
      </c>
      <c r="C44" t="s">
        <v>772</v>
      </c>
      <c r="D44" t="s">
        <v>776</v>
      </c>
      <c r="E44" t="s">
        <v>775</v>
      </c>
      <c r="F44">
        <v>2024</v>
      </c>
      <c r="G44">
        <v>0</v>
      </c>
      <c r="H44" t="s">
        <v>774</v>
      </c>
    </row>
    <row r="45" spans="1:8" x14ac:dyDescent="0.3">
      <c r="A45" s="13" t="str">
        <f t="shared" si="0"/>
        <v>Scopus_44</v>
      </c>
      <c r="B45" t="s">
        <v>432</v>
      </c>
      <c r="C45" t="s">
        <v>945</v>
      </c>
      <c r="D45" t="s">
        <v>948</v>
      </c>
      <c r="E45" t="s">
        <v>947</v>
      </c>
      <c r="F45">
        <v>2023</v>
      </c>
      <c r="G45">
        <v>15</v>
      </c>
      <c r="H45" t="s">
        <v>946</v>
      </c>
    </row>
    <row r="46" spans="1:8" x14ac:dyDescent="0.3">
      <c r="A46" s="13" t="str">
        <f t="shared" si="0"/>
        <v>Scopus_45</v>
      </c>
      <c r="B46" t="s">
        <v>778</v>
      </c>
      <c r="C46" t="s">
        <v>777</v>
      </c>
      <c r="D46" t="s">
        <v>781</v>
      </c>
      <c r="E46" t="s">
        <v>780</v>
      </c>
      <c r="F46">
        <v>2024</v>
      </c>
      <c r="G46">
        <v>0</v>
      </c>
      <c r="H46" t="s">
        <v>779</v>
      </c>
    </row>
    <row r="47" spans="1:8" x14ac:dyDescent="0.3">
      <c r="A47" s="13" t="str">
        <f t="shared" si="0"/>
        <v>Scopus_46</v>
      </c>
      <c r="B47" t="s">
        <v>950</v>
      </c>
      <c r="C47" t="s">
        <v>949</v>
      </c>
      <c r="D47" t="s">
        <v>29</v>
      </c>
      <c r="E47" t="s">
        <v>952</v>
      </c>
      <c r="F47">
        <v>2023</v>
      </c>
      <c r="G47">
        <v>1</v>
      </c>
      <c r="H47" t="s">
        <v>951</v>
      </c>
    </row>
    <row r="48" spans="1:8" x14ac:dyDescent="0.3">
      <c r="A48" s="13" t="str">
        <f t="shared" si="0"/>
        <v>Scopus_47</v>
      </c>
      <c r="B48" t="s">
        <v>59</v>
      </c>
      <c r="C48" t="s">
        <v>29</v>
      </c>
      <c r="D48" t="s">
        <v>29</v>
      </c>
      <c r="E48" t="s">
        <v>117</v>
      </c>
      <c r="F48">
        <v>2023</v>
      </c>
      <c r="G48">
        <v>0</v>
      </c>
      <c r="H48" t="s">
        <v>83</v>
      </c>
    </row>
    <row r="49" spans="1:8" x14ac:dyDescent="0.3">
      <c r="A49" s="13" t="str">
        <f t="shared" si="0"/>
        <v>Scopus_48</v>
      </c>
      <c r="B49" t="s">
        <v>452</v>
      </c>
      <c r="C49" t="s">
        <v>1110</v>
      </c>
      <c r="D49" t="s">
        <v>29</v>
      </c>
      <c r="E49" t="s">
        <v>1112</v>
      </c>
      <c r="F49">
        <v>2023</v>
      </c>
      <c r="G49">
        <v>1</v>
      </c>
      <c r="H49" t="s">
        <v>1111</v>
      </c>
    </row>
    <row r="50" spans="1:8" x14ac:dyDescent="0.3">
      <c r="A50" s="13" t="str">
        <f t="shared" si="0"/>
        <v>Scopus_49</v>
      </c>
      <c r="B50" t="s">
        <v>434</v>
      </c>
      <c r="C50" t="s">
        <v>782</v>
      </c>
      <c r="D50" t="s">
        <v>785</v>
      </c>
      <c r="E50" t="s">
        <v>784</v>
      </c>
      <c r="F50">
        <v>2024</v>
      </c>
      <c r="G50">
        <v>0</v>
      </c>
      <c r="H50" t="s">
        <v>783</v>
      </c>
    </row>
    <row r="51" spans="1:8" x14ac:dyDescent="0.3">
      <c r="A51" s="13" t="str">
        <f t="shared" si="0"/>
        <v>Scopus_50</v>
      </c>
      <c r="B51" t="s">
        <v>441</v>
      </c>
      <c r="C51" t="s">
        <v>953</v>
      </c>
      <c r="D51" t="s">
        <v>956</v>
      </c>
      <c r="E51" t="s">
        <v>955</v>
      </c>
      <c r="F51">
        <v>2023</v>
      </c>
      <c r="G51">
        <v>7</v>
      </c>
      <c r="H51" t="s">
        <v>954</v>
      </c>
    </row>
    <row r="52" spans="1:8" x14ac:dyDescent="0.3">
      <c r="A52" s="13" t="str">
        <f t="shared" si="0"/>
        <v>Scopus_51</v>
      </c>
      <c r="B52" t="s">
        <v>463</v>
      </c>
      <c r="C52" t="s">
        <v>957</v>
      </c>
      <c r="D52" t="s">
        <v>960</v>
      </c>
      <c r="E52" t="s">
        <v>959</v>
      </c>
      <c r="F52">
        <v>2023</v>
      </c>
      <c r="G52">
        <v>6</v>
      </c>
      <c r="H52" t="s">
        <v>958</v>
      </c>
    </row>
    <row r="53" spans="1:8" x14ac:dyDescent="0.3">
      <c r="A53" s="13" t="str">
        <f t="shared" si="0"/>
        <v>Scopus_52</v>
      </c>
      <c r="B53" t="s">
        <v>17</v>
      </c>
      <c r="C53" t="s">
        <v>652</v>
      </c>
      <c r="D53" t="s">
        <v>133</v>
      </c>
      <c r="E53" t="s">
        <v>107</v>
      </c>
      <c r="F53">
        <v>2024</v>
      </c>
      <c r="G53">
        <v>0</v>
      </c>
      <c r="H53" t="s">
        <v>72</v>
      </c>
    </row>
    <row r="54" spans="1:8" x14ac:dyDescent="0.3">
      <c r="A54" s="13" t="str">
        <f t="shared" si="0"/>
        <v>Scopus_53</v>
      </c>
      <c r="B54" t="s">
        <v>492</v>
      </c>
      <c r="C54" t="s">
        <v>786</v>
      </c>
      <c r="D54" t="s">
        <v>789</v>
      </c>
      <c r="E54" t="s">
        <v>788</v>
      </c>
      <c r="F54">
        <v>2024</v>
      </c>
      <c r="G54">
        <v>0</v>
      </c>
      <c r="H54" t="s">
        <v>787</v>
      </c>
    </row>
    <row r="55" spans="1:8" x14ac:dyDescent="0.3">
      <c r="A55" s="13" t="str">
        <f t="shared" si="0"/>
        <v>Scopus_54</v>
      </c>
      <c r="B55" t="s">
        <v>514</v>
      </c>
      <c r="C55" t="s">
        <v>961</v>
      </c>
      <c r="D55" t="s">
        <v>964</v>
      </c>
      <c r="E55" t="s">
        <v>963</v>
      </c>
      <c r="F55">
        <v>2023</v>
      </c>
      <c r="G55">
        <v>6</v>
      </c>
      <c r="H55" t="s">
        <v>962</v>
      </c>
    </row>
    <row r="56" spans="1:8" x14ac:dyDescent="0.3">
      <c r="A56" s="13" t="str">
        <f t="shared" si="0"/>
        <v>Scopus_55</v>
      </c>
      <c r="B56" t="s">
        <v>791</v>
      </c>
      <c r="C56" t="s">
        <v>790</v>
      </c>
      <c r="D56" t="s">
        <v>794</v>
      </c>
      <c r="E56" t="s">
        <v>793</v>
      </c>
      <c r="F56">
        <v>2024</v>
      </c>
      <c r="G56">
        <v>0</v>
      </c>
      <c r="H56" t="s">
        <v>792</v>
      </c>
    </row>
    <row r="57" spans="1:8" x14ac:dyDescent="0.3">
      <c r="A57" s="13" t="str">
        <f t="shared" si="0"/>
        <v>Scopus_56</v>
      </c>
      <c r="B57" t="s">
        <v>796</v>
      </c>
      <c r="C57" t="s">
        <v>795</v>
      </c>
      <c r="D57" t="s">
        <v>799</v>
      </c>
      <c r="E57" t="s">
        <v>798</v>
      </c>
      <c r="F57">
        <v>2024</v>
      </c>
      <c r="G57">
        <v>1</v>
      </c>
      <c r="H57" t="s">
        <v>797</v>
      </c>
    </row>
    <row r="58" spans="1:8" x14ac:dyDescent="0.3">
      <c r="A58" s="13" t="str">
        <f t="shared" si="0"/>
        <v>Scopus_57</v>
      </c>
      <c r="B58" t="s">
        <v>491</v>
      </c>
      <c r="C58" t="s">
        <v>965</v>
      </c>
      <c r="D58" t="s">
        <v>29</v>
      </c>
      <c r="E58" t="s">
        <v>967</v>
      </c>
      <c r="F58">
        <v>2023</v>
      </c>
      <c r="G58">
        <v>6</v>
      </c>
      <c r="H58" t="s">
        <v>966</v>
      </c>
    </row>
    <row r="59" spans="1:8" x14ac:dyDescent="0.3">
      <c r="A59" s="13" t="str">
        <f t="shared" si="0"/>
        <v>Scopus_58</v>
      </c>
      <c r="B59" t="s">
        <v>741</v>
      </c>
      <c r="C59" t="s">
        <v>29</v>
      </c>
      <c r="D59" t="s">
        <v>29</v>
      </c>
      <c r="E59" t="s">
        <v>743</v>
      </c>
      <c r="F59">
        <v>2023</v>
      </c>
      <c r="G59">
        <v>0</v>
      </c>
      <c r="H59" t="s">
        <v>1113</v>
      </c>
    </row>
    <row r="60" spans="1:8" x14ac:dyDescent="0.3">
      <c r="A60" s="13" t="str">
        <f t="shared" si="0"/>
        <v>Scopus_59</v>
      </c>
      <c r="B60" t="s">
        <v>801</v>
      </c>
      <c r="C60" t="s">
        <v>800</v>
      </c>
      <c r="D60" t="s">
        <v>804</v>
      </c>
      <c r="E60" t="s">
        <v>803</v>
      </c>
      <c r="F60">
        <v>2024</v>
      </c>
      <c r="G60">
        <v>0</v>
      </c>
      <c r="H60" t="s">
        <v>802</v>
      </c>
    </row>
    <row r="61" spans="1:8" x14ac:dyDescent="0.3">
      <c r="A61" s="13" t="str">
        <f t="shared" si="0"/>
        <v>Scopus_60</v>
      </c>
      <c r="B61" t="s">
        <v>806</v>
      </c>
      <c r="C61" t="s">
        <v>805</v>
      </c>
      <c r="D61" t="s">
        <v>809</v>
      </c>
      <c r="E61" t="s">
        <v>808</v>
      </c>
      <c r="F61">
        <v>2024</v>
      </c>
      <c r="G61">
        <v>0</v>
      </c>
      <c r="H61" t="s">
        <v>807</v>
      </c>
    </row>
    <row r="62" spans="1:8" x14ac:dyDescent="0.3">
      <c r="A62" s="13" t="str">
        <f t="shared" si="0"/>
        <v>Scopus_61</v>
      </c>
      <c r="B62" t="s">
        <v>741</v>
      </c>
      <c r="C62" t="s">
        <v>29</v>
      </c>
      <c r="D62" t="s">
        <v>29</v>
      </c>
      <c r="E62" t="s">
        <v>743</v>
      </c>
      <c r="F62">
        <v>2023</v>
      </c>
      <c r="G62">
        <v>0</v>
      </c>
      <c r="H62" t="s">
        <v>1114</v>
      </c>
    </row>
    <row r="63" spans="1:8" x14ac:dyDescent="0.3">
      <c r="A63" s="13" t="str">
        <f t="shared" si="0"/>
        <v>Scopus_62</v>
      </c>
      <c r="B63" t="s">
        <v>741</v>
      </c>
      <c r="C63" t="s">
        <v>29</v>
      </c>
      <c r="D63" t="s">
        <v>29</v>
      </c>
      <c r="E63" t="s">
        <v>743</v>
      </c>
      <c r="F63">
        <v>2024</v>
      </c>
      <c r="G63">
        <v>0</v>
      </c>
      <c r="H63" t="s">
        <v>810</v>
      </c>
    </row>
    <row r="64" spans="1:8" x14ac:dyDescent="0.3">
      <c r="A64" s="13" t="str">
        <f t="shared" si="0"/>
        <v>Scopus_63</v>
      </c>
      <c r="B64" t="s">
        <v>969</v>
      </c>
      <c r="C64" t="s">
        <v>968</v>
      </c>
      <c r="D64" t="s">
        <v>972</v>
      </c>
      <c r="E64" t="s">
        <v>971</v>
      </c>
      <c r="F64">
        <v>2023</v>
      </c>
      <c r="G64">
        <v>3</v>
      </c>
      <c r="H64" t="s">
        <v>970</v>
      </c>
    </row>
    <row r="65" spans="1:8" x14ac:dyDescent="0.3">
      <c r="A65" s="13" t="str">
        <f t="shared" si="0"/>
        <v>Scopus_64</v>
      </c>
      <c r="B65" t="s">
        <v>44</v>
      </c>
      <c r="C65" t="s">
        <v>655</v>
      </c>
      <c r="D65" t="s">
        <v>29</v>
      </c>
      <c r="E65" t="s">
        <v>109</v>
      </c>
      <c r="F65">
        <v>2024</v>
      </c>
      <c r="G65">
        <v>0</v>
      </c>
      <c r="H65" t="s">
        <v>75</v>
      </c>
    </row>
    <row r="66" spans="1:8" x14ac:dyDescent="0.3">
      <c r="A66" s="13" t="str">
        <f t="shared" ref="A66:A129" si="1">"Scopus_" &amp; ROW()-1</f>
        <v>Scopus_65</v>
      </c>
      <c r="B66" t="s">
        <v>812</v>
      </c>
      <c r="C66" t="s">
        <v>811</v>
      </c>
      <c r="D66" t="s">
        <v>815</v>
      </c>
      <c r="E66" t="s">
        <v>814</v>
      </c>
      <c r="F66">
        <v>2024</v>
      </c>
      <c r="G66">
        <v>0</v>
      </c>
      <c r="H66" t="s">
        <v>813</v>
      </c>
    </row>
    <row r="67" spans="1:8" x14ac:dyDescent="0.3">
      <c r="A67" s="13" t="str">
        <f t="shared" si="1"/>
        <v>Scopus_66</v>
      </c>
      <c r="B67" t="s">
        <v>817</v>
      </c>
      <c r="C67" t="s">
        <v>816</v>
      </c>
      <c r="D67" t="s">
        <v>820</v>
      </c>
      <c r="E67" t="s">
        <v>819</v>
      </c>
      <c r="F67">
        <v>2024</v>
      </c>
      <c r="G67">
        <v>0</v>
      </c>
      <c r="H67" t="s">
        <v>818</v>
      </c>
    </row>
    <row r="68" spans="1:8" x14ac:dyDescent="0.3">
      <c r="A68" s="13" t="str">
        <f t="shared" si="1"/>
        <v>Scopus_67</v>
      </c>
      <c r="B68" t="s">
        <v>974</v>
      </c>
      <c r="C68" t="s">
        <v>973</v>
      </c>
      <c r="D68" t="s">
        <v>977</v>
      </c>
      <c r="E68" t="s">
        <v>976</v>
      </c>
      <c r="F68">
        <v>2023</v>
      </c>
      <c r="G68">
        <v>1</v>
      </c>
      <c r="H68" t="s">
        <v>975</v>
      </c>
    </row>
    <row r="69" spans="1:8" x14ac:dyDescent="0.3">
      <c r="A69" s="13" t="str">
        <f t="shared" si="1"/>
        <v>Scopus_68</v>
      </c>
      <c r="B69" t="s">
        <v>457</v>
      </c>
      <c r="C69" t="s">
        <v>978</v>
      </c>
      <c r="D69" t="s">
        <v>29</v>
      </c>
      <c r="E69" t="s">
        <v>980</v>
      </c>
      <c r="F69">
        <v>2023</v>
      </c>
      <c r="G69">
        <v>0</v>
      </c>
      <c r="H69" t="s">
        <v>979</v>
      </c>
    </row>
    <row r="70" spans="1:8" x14ac:dyDescent="0.3">
      <c r="A70" s="13" t="str">
        <f t="shared" si="1"/>
        <v>Scopus_69</v>
      </c>
      <c r="B70" t="s">
        <v>58</v>
      </c>
      <c r="C70" t="s">
        <v>29</v>
      </c>
      <c r="D70" t="s">
        <v>29</v>
      </c>
      <c r="E70" t="s">
        <v>115</v>
      </c>
      <c r="F70">
        <v>2023</v>
      </c>
      <c r="G70">
        <v>0</v>
      </c>
      <c r="H70" t="s">
        <v>81</v>
      </c>
    </row>
    <row r="71" spans="1:8" x14ac:dyDescent="0.3">
      <c r="A71" s="13" t="str">
        <f t="shared" si="1"/>
        <v>Scopus_70</v>
      </c>
      <c r="B71" t="s">
        <v>525</v>
      </c>
      <c r="C71" t="s">
        <v>821</v>
      </c>
      <c r="D71" t="s">
        <v>824</v>
      </c>
      <c r="E71" t="s">
        <v>823</v>
      </c>
      <c r="F71">
        <v>2024</v>
      </c>
      <c r="G71">
        <v>0</v>
      </c>
      <c r="H71" t="s">
        <v>822</v>
      </c>
    </row>
    <row r="72" spans="1:8" x14ac:dyDescent="0.3">
      <c r="A72" s="13" t="str">
        <f t="shared" si="1"/>
        <v>Scopus_71</v>
      </c>
      <c r="B72" t="s">
        <v>826</v>
      </c>
      <c r="C72" t="s">
        <v>825</v>
      </c>
      <c r="D72" t="s">
        <v>829</v>
      </c>
      <c r="E72" t="s">
        <v>828</v>
      </c>
      <c r="F72">
        <v>2024</v>
      </c>
      <c r="G72">
        <v>0</v>
      </c>
      <c r="H72" t="s">
        <v>827</v>
      </c>
    </row>
    <row r="73" spans="1:8" x14ac:dyDescent="0.3">
      <c r="A73" s="13" t="str">
        <f t="shared" si="1"/>
        <v>Scopus_72</v>
      </c>
      <c r="B73" t="s">
        <v>1126</v>
      </c>
      <c r="C73" t="s">
        <v>1125</v>
      </c>
      <c r="D73" t="s">
        <v>29</v>
      </c>
      <c r="E73" t="s">
        <v>1128</v>
      </c>
      <c r="F73">
        <v>2023</v>
      </c>
      <c r="G73">
        <v>8</v>
      </c>
      <c r="H73" t="s">
        <v>1127</v>
      </c>
    </row>
    <row r="74" spans="1:8" x14ac:dyDescent="0.3">
      <c r="A74" s="13" t="str">
        <f t="shared" si="1"/>
        <v>Scopus_73</v>
      </c>
      <c r="B74" t="s">
        <v>831</v>
      </c>
      <c r="C74" t="s">
        <v>830</v>
      </c>
      <c r="D74" t="s">
        <v>834</v>
      </c>
      <c r="E74" t="s">
        <v>833</v>
      </c>
      <c r="F74">
        <v>2024</v>
      </c>
      <c r="G74">
        <v>0</v>
      </c>
      <c r="H74" t="s">
        <v>832</v>
      </c>
    </row>
    <row r="75" spans="1:8" x14ac:dyDescent="0.3">
      <c r="A75" s="13" t="str">
        <f t="shared" si="1"/>
        <v>Scopus_74</v>
      </c>
      <c r="B75" t="s">
        <v>836</v>
      </c>
      <c r="C75" t="s">
        <v>835</v>
      </c>
      <c r="D75" t="s">
        <v>839</v>
      </c>
      <c r="E75" t="s">
        <v>838</v>
      </c>
      <c r="F75">
        <v>2024</v>
      </c>
      <c r="G75">
        <v>0</v>
      </c>
      <c r="H75" t="s">
        <v>837</v>
      </c>
    </row>
    <row r="76" spans="1:8" x14ac:dyDescent="0.3">
      <c r="A76" s="13" t="str">
        <f t="shared" si="1"/>
        <v>Scopus_75</v>
      </c>
      <c r="B76" t="s">
        <v>841</v>
      </c>
      <c r="C76" t="s">
        <v>840</v>
      </c>
      <c r="D76" t="s">
        <v>844</v>
      </c>
      <c r="E76" t="s">
        <v>843</v>
      </c>
      <c r="F76">
        <v>2024</v>
      </c>
      <c r="G76">
        <v>4</v>
      </c>
      <c r="H76" t="s">
        <v>842</v>
      </c>
    </row>
    <row r="77" spans="1:8" x14ac:dyDescent="0.3">
      <c r="A77" s="13" t="str">
        <f t="shared" si="1"/>
        <v>Scopus_76</v>
      </c>
      <c r="B77" t="s">
        <v>846</v>
      </c>
      <c r="C77" t="s">
        <v>845</v>
      </c>
      <c r="D77" t="s">
        <v>29</v>
      </c>
      <c r="E77" t="s">
        <v>848</v>
      </c>
      <c r="F77">
        <v>2024</v>
      </c>
      <c r="G77">
        <v>3</v>
      </c>
      <c r="H77" t="s">
        <v>847</v>
      </c>
    </row>
    <row r="78" spans="1:8" x14ac:dyDescent="0.3">
      <c r="A78" s="13" t="str">
        <f t="shared" si="1"/>
        <v>Scopus_77</v>
      </c>
      <c r="B78" t="s">
        <v>850</v>
      </c>
      <c r="C78" t="s">
        <v>849</v>
      </c>
      <c r="D78" t="s">
        <v>853</v>
      </c>
      <c r="E78" t="s">
        <v>852</v>
      </c>
      <c r="F78">
        <v>2024</v>
      </c>
      <c r="G78">
        <v>0</v>
      </c>
      <c r="H78" t="s">
        <v>851</v>
      </c>
    </row>
    <row r="79" spans="1:8" x14ac:dyDescent="0.3">
      <c r="A79" s="13" t="str">
        <f t="shared" si="1"/>
        <v>Scopus_78</v>
      </c>
      <c r="B79" t="s">
        <v>855</v>
      </c>
      <c r="C79" t="s">
        <v>854</v>
      </c>
      <c r="D79" t="s">
        <v>858</v>
      </c>
      <c r="E79" t="s">
        <v>857</v>
      </c>
      <c r="F79">
        <v>2024</v>
      </c>
      <c r="G79">
        <v>0</v>
      </c>
      <c r="H79" t="s">
        <v>856</v>
      </c>
    </row>
    <row r="80" spans="1:8" x14ac:dyDescent="0.3">
      <c r="A80" s="13" t="str">
        <f t="shared" si="1"/>
        <v>Scopus_79</v>
      </c>
      <c r="B80" t="s">
        <v>982</v>
      </c>
      <c r="C80" t="s">
        <v>981</v>
      </c>
      <c r="D80" t="s">
        <v>985</v>
      </c>
      <c r="E80" t="s">
        <v>984</v>
      </c>
      <c r="F80">
        <v>2023</v>
      </c>
      <c r="G80">
        <v>0</v>
      </c>
      <c r="H80" t="s">
        <v>983</v>
      </c>
    </row>
    <row r="81" spans="1:8" x14ac:dyDescent="0.3">
      <c r="A81" s="13" t="str">
        <f t="shared" si="1"/>
        <v>Scopus_80</v>
      </c>
      <c r="B81" t="s">
        <v>914</v>
      </c>
      <c r="C81" t="s">
        <v>986</v>
      </c>
      <c r="D81" t="s">
        <v>989</v>
      </c>
      <c r="E81" t="s">
        <v>988</v>
      </c>
      <c r="F81">
        <v>2023</v>
      </c>
      <c r="G81">
        <v>3</v>
      </c>
      <c r="H81" t="s">
        <v>987</v>
      </c>
    </row>
    <row r="82" spans="1:8" x14ac:dyDescent="0.3">
      <c r="A82" s="13" t="str">
        <f t="shared" si="1"/>
        <v>Scopus_81</v>
      </c>
      <c r="B82" t="s">
        <v>991</v>
      </c>
      <c r="C82" t="s">
        <v>990</v>
      </c>
      <c r="D82" t="s">
        <v>994</v>
      </c>
      <c r="E82" t="s">
        <v>993</v>
      </c>
      <c r="F82">
        <v>2023</v>
      </c>
      <c r="G82">
        <v>0</v>
      </c>
      <c r="H82" t="s">
        <v>992</v>
      </c>
    </row>
    <row r="83" spans="1:8" x14ac:dyDescent="0.3">
      <c r="A83" s="13" t="str">
        <f t="shared" si="1"/>
        <v>Scopus_82</v>
      </c>
      <c r="B83" t="s">
        <v>996</v>
      </c>
      <c r="C83" t="s">
        <v>995</v>
      </c>
      <c r="D83" t="s">
        <v>29</v>
      </c>
      <c r="E83" t="s">
        <v>1893</v>
      </c>
      <c r="F83">
        <v>2023</v>
      </c>
      <c r="G83">
        <v>3</v>
      </c>
      <c r="H83" t="s">
        <v>997</v>
      </c>
    </row>
    <row r="84" spans="1:8" x14ac:dyDescent="0.3">
      <c r="A84" s="13" t="str">
        <f t="shared" si="1"/>
        <v>Scopus_83</v>
      </c>
      <c r="B84" t="s">
        <v>999</v>
      </c>
      <c r="C84" t="s">
        <v>998</v>
      </c>
      <c r="D84" t="s">
        <v>1002</v>
      </c>
      <c r="E84" t="s">
        <v>1001</v>
      </c>
      <c r="F84">
        <v>2023</v>
      </c>
      <c r="G84">
        <v>0</v>
      </c>
      <c r="H84" t="s">
        <v>1000</v>
      </c>
    </row>
    <row r="85" spans="1:8" x14ac:dyDescent="0.3">
      <c r="A85" s="13" t="str">
        <f t="shared" si="1"/>
        <v>Scopus_84</v>
      </c>
      <c r="B85" t="s">
        <v>488</v>
      </c>
      <c r="C85" t="s">
        <v>1003</v>
      </c>
      <c r="D85" t="s">
        <v>29</v>
      </c>
      <c r="E85" t="s">
        <v>1005</v>
      </c>
      <c r="F85">
        <v>2023</v>
      </c>
      <c r="G85">
        <v>14</v>
      </c>
      <c r="H85" t="s">
        <v>1004</v>
      </c>
    </row>
    <row r="86" spans="1:8" x14ac:dyDescent="0.3">
      <c r="A86" s="13" t="str">
        <f t="shared" si="1"/>
        <v>Scopus_85</v>
      </c>
      <c r="B86" t="s">
        <v>56</v>
      </c>
      <c r="C86" t="s">
        <v>658</v>
      </c>
      <c r="D86" t="s">
        <v>137</v>
      </c>
      <c r="E86" t="s">
        <v>112</v>
      </c>
      <c r="F86">
        <v>2024</v>
      </c>
      <c r="G86">
        <v>0</v>
      </c>
      <c r="H86" t="s">
        <v>78</v>
      </c>
    </row>
    <row r="87" spans="1:8" x14ac:dyDescent="0.3">
      <c r="A87" s="13" t="str">
        <f t="shared" si="1"/>
        <v>Scopus_86</v>
      </c>
      <c r="B87" t="s">
        <v>741</v>
      </c>
      <c r="C87" t="s">
        <v>29</v>
      </c>
      <c r="D87" t="s">
        <v>29</v>
      </c>
      <c r="E87" t="s">
        <v>743</v>
      </c>
      <c r="F87">
        <v>2024</v>
      </c>
      <c r="G87">
        <v>0</v>
      </c>
      <c r="H87" t="s">
        <v>859</v>
      </c>
    </row>
    <row r="88" spans="1:8" x14ac:dyDescent="0.3">
      <c r="A88" s="13" t="str">
        <f t="shared" si="1"/>
        <v>Scopus_87</v>
      </c>
      <c r="B88" t="s">
        <v>476</v>
      </c>
      <c r="C88" t="s">
        <v>1006</v>
      </c>
      <c r="D88" t="s">
        <v>1009</v>
      </c>
      <c r="E88" t="s">
        <v>1008</v>
      </c>
      <c r="F88">
        <v>2023</v>
      </c>
      <c r="G88">
        <v>2</v>
      </c>
      <c r="H88" t="s">
        <v>1007</v>
      </c>
    </row>
    <row r="89" spans="1:8" x14ac:dyDescent="0.3">
      <c r="A89" s="13" t="str">
        <f t="shared" si="1"/>
        <v>Scopus_88</v>
      </c>
      <c r="B89" t="s">
        <v>861</v>
      </c>
      <c r="C89" t="s">
        <v>860</v>
      </c>
      <c r="D89" t="s">
        <v>864</v>
      </c>
      <c r="E89" t="s">
        <v>863</v>
      </c>
      <c r="F89">
        <v>2024</v>
      </c>
      <c r="G89">
        <v>0</v>
      </c>
      <c r="H89" t="s">
        <v>862</v>
      </c>
    </row>
    <row r="90" spans="1:8" x14ac:dyDescent="0.3">
      <c r="A90" s="13" t="str">
        <f t="shared" si="1"/>
        <v>Scopus_89</v>
      </c>
      <c r="B90" t="s">
        <v>866</v>
      </c>
      <c r="C90" t="s">
        <v>865</v>
      </c>
      <c r="D90" t="s">
        <v>869</v>
      </c>
      <c r="E90" t="s">
        <v>868</v>
      </c>
      <c r="F90">
        <v>2024</v>
      </c>
      <c r="G90">
        <v>2</v>
      </c>
      <c r="H90" t="s">
        <v>867</v>
      </c>
    </row>
    <row r="91" spans="1:8" x14ac:dyDescent="0.3">
      <c r="A91" s="13" t="str">
        <f t="shared" si="1"/>
        <v>Scopus_90</v>
      </c>
      <c r="B91" t="s">
        <v>521</v>
      </c>
      <c r="C91" t="s">
        <v>870</v>
      </c>
      <c r="D91" t="s">
        <v>873</v>
      </c>
      <c r="E91" t="s">
        <v>872</v>
      </c>
      <c r="F91">
        <v>2024</v>
      </c>
      <c r="G91">
        <v>1</v>
      </c>
      <c r="H91" t="s">
        <v>871</v>
      </c>
    </row>
    <row r="92" spans="1:8" x14ac:dyDescent="0.3">
      <c r="A92" s="13" t="str">
        <f t="shared" si="1"/>
        <v>Scopus_91</v>
      </c>
      <c r="B92" t="s">
        <v>502</v>
      </c>
      <c r="C92" t="s">
        <v>1138</v>
      </c>
      <c r="D92" t="s">
        <v>1141</v>
      </c>
      <c r="E92" t="s">
        <v>1140</v>
      </c>
      <c r="F92">
        <v>2023</v>
      </c>
      <c r="G92">
        <v>1</v>
      </c>
      <c r="H92" t="s">
        <v>1139</v>
      </c>
    </row>
    <row r="93" spans="1:8" x14ac:dyDescent="0.3">
      <c r="A93" s="13" t="str">
        <f t="shared" si="1"/>
        <v>Scopus_92</v>
      </c>
      <c r="B93" t="s">
        <v>741</v>
      </c>
      <c r="C93" t="s">
        <v>29</v>
      </c>
      <c r="D93" t="s">
        <v>29</v>
      </c>
      <c r="E93" t="s">
        <v>743</v>
      </c>
      <c r="F93">
        <v>2023</v>
      </c>
      <c r="G93">
        <v>0</v>
      </c>
      <c r="H93" t="s">
        <v>1145</v>
      </c>
    </row>
    <row r="94" spans="1:8" x14ac:dyDescent="0.3">
      <c r="A94" s="13" t="str">
        <f t="shared" si="1"/>
        <v>Scopus_93</v>
      </c>
      <c r="B94" t="s">
        <v>875</v>
      </c>
      <c r="C94" t="s">
        <v>874</v>
      </c>
      <c r="D94" t="s">
        <v>536</v>
      </c>
      <c r="E94" t="s">
        <v>877</v>
      </c>
      <c r="F94">
        <v>2024</v>
      </c>
      <c r="G94">
        <v>0</v>
      </c>
      <c r="H94" t="s">
        <v>876</v>
      </c>
    </row>
    <row r="95" spans="1:8" x14ac:dyDescent="0.3">
      <c r="A95" s="13" t="str">
        <f t="shared" si="1"/>
        <v>Scopus_94</v>
      </c>
      <c r="B95" t="s">
        <v>53</v>
      </c>
      <c r="C95" t="s">
        <v>653</v>
      </c>
      <c r="D95" t="s">
        <v>134</v>
      </c>
      <c r="E95" t="s">
        <v>108</v>
      </c>
      <c r="F95">
        <v>2024</v>
      </c>
      <c r="G95">
        <v>0</v>
      </c>
      <c r="H95" t="s">
        <v>73</v>
      </c>
    </row>
    <row r="96" spans="1:8" x14ac:dyDescent="0.3">
      <c r="A96" s="13" t="str">
        <f t="shared" si="1"/>
        <v>Scopus_95</v>
      </c>
      <c r="B96" t="s">
        <v>506</v>
      </c>
      <c r="C96" t="s">
        <v>878</v>
      </c>
      <c r="D96" t="s">
        <v>880</v>
      </c>
      <c r="E96" t="s">
        <v>1894</v>
      </c>
      <c r="F96">
        <v>2024</v>
      </c>
      <c r="G96">
        <v>0</v>
      </c>
      <c r="H96" t="s">
        <v>879</v>
      </c>
    </row>
    <row r="97" spans="1:8" x14ac:dyDescent="0.3">
      <c r="A97" s="13" t="str">
        <f t="shared" si="1"/>
        <v>Scopus_96</v>
      </c>
      <c r="B97" t="s">
        <v>1011</v>
      </c>
      <c r="C97" t="s">
        <v>1010</v>
      </c>
      <c r="D97" t="s">
        <v>29</v>
      </c>
      <c r="E97" t="s">
        <v>1013</v>
      </c>
      <c r="F97">
        <v>2023</v>
      </c>
      <c r="G97">
        <v>0</v>
      </c>
      <c r="H97" t="s">
        <v>1012</v>
      </c>
    </row>
    <row r="98" spans="1:8" x14ac:dyDescent="0.3">
      <c r="A98" s="13" t="str">
        <f t="shared" si="1"/>
        <v>Scopus_97</v>
      </c>
      <c r="B98" t="s">
        <v>54</v>
      </c>
      <c r="C98" t="s">
        <v>654</v>
      </c>
      <c r="D98" t="s">
        <v>135</v>
      </c>
      <c r="E98" t="s">
        <v>1895</v>
      </c>
      <c r="F98">
        <v>2024</v>
      </c>
      <c r="G98">
        <v>0</v>
      </c>
      <c r="H98" t="s">
        <v>74</v>
      </c>
    </row>
    <row r="99" spans="1:8" x14ac:dyDescent="0.3">
      <c r="A99" s="13" t="str">
        <f t="shared" si="1"/>
        <v>Scopus_98</v>
      </c>
      <c r="B99" t="s">
        <v>43</v>
      </c>
      <c r="C99" t="s">
        <v>656</v>
      </c>
      <c r="D99" t="s">
        <v>29</v>
      </c>
      <c r="E99" t="s">
        <v>110</v>
      </c>
      <c r="F99">
        <v>2024</v>
      </c>
      <c r="G99">
        <v>0</v>
      </c>
      <c r="H99" t="s">
        <v>76</v>
      </c>
    </row>
    <row r="100" spans="1:8" x14ac:dyDescent="0.3">
      <c r="A100" s="13" t="str">
        <f t="shared" si="1"/>
        <v>Scopus_99</v>
      </c>
      <c r="B100" t="s">
        <v>741</v>
      </c>
      <c r="C100" t="s">
        <v>29</v>
      </c>
      <c r="D100" t="s">
        <v>29</v>
      </c>
      <c r="E100" t="s">
        <v>743</v>
      </c>
      <c r="F100">
        <v>2024</v>
      </c>
      <c r="G100">
        <v>0</v>
      </c>
      <c r="H100" t="s">
        <v>1014</v>
      </c>
    </row>
    <row r="101" spans="1:8" x14ac:dyDescent="0.3">
      <c r="A101" s="13" t="str">
        <f t="shared" si="1"/>
        <v>Scopus_100</v>
      </c>
      <c r="B101" t="s">
        <v>533</v>
      </c>
      <c r="C101" t="s">
        <v>1015</v>
      </c>
      <c r="D101" t="s">
        <v>1017</v>
      </c>
      <c r="E101" t="s">
        <v>1896</v>
      </c>
      <c r="F101">
        <v>2023</v>
      </c>
      <c r="G101">
        <v>2</v>
      </c>
      <c r="H101" t="s">
        <v>1016</v>
      </c>
    </row>
    <row r="102" spans="1:8" x14ac:dyDescent="0.3">
      <c r="A102" s="13" t="str">
        <f t="shared" si="1"/>
        <v>Scopus_101</v>
      </c>
      <c r="B102" t="s">
        <v>63</v>
      </c>
      <c r="C102" t="s">
        <v>670</v>
      </c>
      <c r="D102" t="s">
        <v>146</v>
      </c>
      <c r="E102" t="s">
        <v>126</v>
      </c>
      <c r="F102">
        <v>2022</v>
      </c>
      <c r="G102">
        <v>21</v>
      </c>
      <c r="H102" t="s">
        <v>94</v>
      </c>
    </row>
    <row r="103" spans="1:8" x14ac:dyDescent="0.3">
      <c r="A103" s="13" t="str">
        <f t="shared" si="1"/>
        <v>Scopus_102</v>
      </c>
      <c r="B103" t="s">
        <v>1019</v>
      </c>
      <c r="C103" t="s">
        <v>1018</v>
      </c>
      <c r="D103" t="s">
        <v>537</v>
      </c>
      <c r="E103" t="s">
        <v>1021</v>
      </c>
      <c r="F103">
        <v>2023</v>
      </c>
      <c r="G103">
        <v>0</v>
      </c>
      <c r="H103" t="s">
        <v>1020</v>
      </c>
    </row>
    <row r="104" spans="1:8" x14ac:dyDescent="0.3">
      <c r="A104" s="13" t="str">
        <f t="shared" si="1"/>
        <v>Scopus_103</v>
      </c>
      <c r="B104" t="s">
        <v>1023</v>
      </c>
      <c r="C104" t="s">
        <v>1022</v>
      </c>
      <c r="D104" t="s">
        <v>1026</v>
      </c>
      <c r="E104" t="s">
        <v>1025</v>
      </c>
      <c r="F104">
        <v>2023</v>
      </c>
      <c r="G104">
        <v>0</v>
      </c>
      <c r="H104" t="s">
        <v>1024</v>
      </c>
    </row>
    <row r="105" spans="1:8" x14ac:dyDescent="0.3">
      <c r="A105" s="13" t="str">
        <f t="shared" si="1"/>
        <v>Scopus_104</v>
      </c>
      <c r="B105" t="s">
        <v>1165</v>
      </c>
      <c r="C105" t="s">
        <v>29</v>
      </c>
      <c r="D105" t="s">
        <v>29</v>
      </c>
      <c r="E105" t="s">
        <v>1897</v>
      </c>
      <c r="F105">
        <v>2022</v>
      </c>
      <c r="G105">
        <v>0</v>
      </c>
      <c r="H105" t="s">
        <v>1166</v>
      </c>
    </row>
    <row r="106" spans="1:8" x14ac:dyDescent="0.3">
      <c r="A106" s="13" t="str">
        <f t="shared" si="1"/>
        <v>Scopus_105</v>
      </c>
      <c r="B106" t="s">
        <v>1168</v>
      </c>
      <c r="C106" t="s">
        <v>1167</v>
      </c>
      <c r="D106" t="s">
        <v>1171</v>
      </c>
      <c r="E106" t="s">
        <v>1170</v>
      </c>
      <c r="F106">
        <v>2022</v>
      </c>
      <c r="G106">
        <v>0</v>
      </c>
      <c r="H106" t="s">
        <v>1169</v>
      </c>
    </row>
    <row r="107" spans="1:8" x14ac:dyDescent="0.3">
      <c r="A107" s="13" t="str">
        <f t="shared" si="1"/>
        <v>Scopus_106</v>
      </c>
      <c r="B107" t="s">
        <v>1028</v>
      </c>
      <c r="C107" t="s">
        <v>1027</v>
      </c>
      <c r="D107" t="s">
        <v>1031</v>
      </c>
      <c r="E107" t="s">
        <v>1030</v>
      </c>
      <c r="F107">
        <v>2023</v>
      </c>
      <c r="G107">
        <v>9</v>
      </c>
      <c r="H107" t="s">
        <v>1029</v>
      </c>
    </row>
    <row r="108" spans="1:8" x14ac:dyDescent="0.3">
      <c r="A108" s="13" t="str">
        <f t="shared" si="1"/>
        <v>Scopus_107</v>
      </c>
      <c r="B108" t="s">
        <v>497</v>
      </c>
      <c r="C108" t="s">
        <v>1172</v>
      </c>
      <c r="D108" t="s">
        <v>1175</v>
      </c>
      <c r="E108" t="s">
        <v>1174</v>
      </c>
      <c r="F108">
        <v>2022</v>
      </c>
      <c r="G108">
        <v>3</v>
      </c>
      <c r="H108" t="s">
        <v>1173</v>
      </c>
    </row>
    <row r="109" spans="1:8" x14ac:dyDescent="0.3">
      <c r="A109" s="13" t="str">
        <f t="shared" si="1"/>
        <v>Scopus_108</v>
      </c>
      <c r="B109" t="s">
        <v>1177</v>
      </c>
      <c r="C109" t="s">
        <v>1176</v>
      </c>
      <c r="D109" t="s">
        <v>1180</v>
      </c>
      <c r="E109" t="s">
        <v>1179</v>
      </c>
      <c r="F109">
        <v>2022</v>
      </c>
      <c r="G109">
        <v>0</v>
      </c>
      <c r="H109" t="s">
        <v>1178</v>
      </c>
    </row>
    <row r="110" spans="1:8" x14ac:dyDescent="0.3">
      <c r="A110" s="13" t="str">
        <f t="shared" si="1"/>
        <v>Scopus_109</v>
      </c>
      <c r="B110" t="s">
        <v>1033</v>
      </c>
      <c r="C110" t="s">
        <v>1032</v>
      </c>
      <c r="D110" t="s">
        <v>1036</v>
      </c>
      <c r="E110" t="s">
        <v>1035</v>
      </c>
      <c r="F110">
        <v>2023</v>
      </c>
      <c r="G110">
        <v>0</v>
      </c>
      <c r="H110" t="s">
        <v>1034</v>
      </c>
    </row>
    <row r="111" spans="1:8" x14ac:dyDescent="0.3">
      <c r="A111" s="13" t="str">
        <f t="shared" si="1"/>
        <v>Scopus_110</v>
      </c>
      <c r="B111" t="s">
        <v>522</v>
      </c>
      <c r="C111" t="s">
        <v>1299</v>
      </c>
      <c r="D111" t="s">
        <v>543</v>
      </c>
      <c r="E111" t="s">
        <v>1301</v>
      </c>
      <c r="F111">
        <v>2021</v>
      </c>
      <c r="G111">
        <v>1</v>
      </c>
      <c r="H111" t="s">
        <v>1300</v>
      </c>
    </row>
    <row r="112" spans="1:8" x14ac:dyDescent="0.3">
      <c r="A112" s="13" t="str">
        <f t="shared" si="1"/>
        <v>Scopus_111</v>
      </c>
      <c r="B112" t="s">
        <v>1047</v>
      </c>
      <c r="C112" t="s">
        <v>1046</v>
      </c>
      <c r="D112" t="s">
        <v>1050</v>
      </c>
      <c r="E112" t="s">
        <v>1049</v>
      </c>
      <c r="F112">
        <v>2023</v>
      </c>
      <c r="G112">
        <v>1</v>
      </c>
      <c r="H112" t="s">
        <v>1048</v>
      </c>
    </row>
    <row r="113" spans="1:8" x14ac:dyDescent="0.3">
      <c r="A113" s="13" t="str">
        <f t="shared" si="1"/>
        <v>Scopus_112</v>
      </c>
      <c r="B113" t="s">
        <v>20</v>
      </c>
      <c r="C113" t="s">
        <v>662</v>
      </c>
      <c r="D113" t="s">
        <v>140</v>
      </c>
      <c r="E113" t="s">
        <v>118</v>
      </c>
      <c r="F113">
        <v>2022</v>
      </c>
      <c r="G113">
        <v>1</v>
      </c>
      <c r="H113" t="s">
        <v>84</v>
      </c>
    </row>
    <row r="114" spans="1:8" x14ac:dyDescent="0.3">
      <c r="A114" s="13" t="str">
        <f t="shared" si="1"/>
        <v>Scopus_113</v>
      </c>
      <c r="B114" t="s">
        <v>507</v>
      </c>
      <c r="C114" t="s">
        <v>1302</v>
      </c>
      <c r="D114" t="s">
        <v>1305</v>
      </c>
      <c r="E114" t="s">
        <v>1304</v>
      </c>
      <c r="F114">
        <v>2022</v>
      </c>
      <c r="G114">
        <v>3</v>
      </c>
      <c r="H114" t="s">
        <v>1303</v>
      </c>
    </row>
    <row r="115" spans="1:8" x14ac:dyDescent="0.3">
      <c r="A115" s="13" t="str">
        <f t="shared" si="1"/>
        <v>Scopus_114</v>
      </c>
      <c r="B115" t="s">
        <v>1052</v>
      </c>
      <c r="C115" t="s">
        <v>1051</v>
      </c>
      <c r="D115" t="s">
        <v>1055</v>
      </c>
      <c r="E115" t="s">
        <v>1054</v>
      </c>
      <c r="F115">
        <v>2023</v>
      </c>
      <c r="G115">
        <v>1</v>
      </c>
      <c r="H115" t="s">
        <v>1053</v>
      </c>
    </row>
    <row r="116" spans="1:8" x14ac:dyDescent="0.3">
      <c r="A116" s="13" t="str">
        <f t="shared" si="1"/>
        <v>Scopus_115</v>
      </c>
      <c r="B116" t="s">
        <v>1307</v>
      </c>
      <c r="C116" t="s">
        <v>1306</v>
      </c>
      <c r="D116" t="s">
        <v>1310</v>
      </c>
      <c r="E116" t="s">
        <v>1309</v>
      </c>
      <c r="F116">
        <v>2022</v>
      </c>
      <c r="G116">
        <v>0</v>
      </c>
      <c r="H116" t="s">
        <v>1308</v>
      </c>
    </row>
    <row r="117" spans="1:8" x14ac:dyDescent="0.3">
      <c r="A117" s="13" t="str">
        <f t="shared" si="1"/>
        <v>Scopus_116</v>
      </c>
      <c r="B117" t="s">
        <v>60</v>
      </c>
      <c r="C117" t="s">
        <v>29</v>
      </c>
      <c r="D117" t="s">
        <v>29</v>
      </c>
      <c r="E117" t="s">
        <v>119</v>
      </c>
      <c r="F117">
        <v>2023</v>
      </c>
      <c r="G117">
        <v>0</v>
      </c>
      <c r="H117" t="s">
        <v>85</v>
      </c>
    </row>
    <row r="118" spans="1:8" x14ac:dyDescent="0.3">
      <c r="A118" s="13" t="str">
        <f t="shared" si="1"/>
        <v>Scopus_117</v>
      </c>
      <c r="B118" t="s">
        <v>1056</v>
      </c>
      <c r="C118" t="s">
        <v>29</v>
      </c>
      <c r="D118" t="s">
        <v>29</v>
      </c>
      <c r="E118" t="s">
        <v>1898</v>
      </c>
      <c r="F118">
        <v>2023</v>
      </c>
      <c r="G118">
        <v>0</v>
      </c>
      <c r="H118" t="s">
        <v>1057</v>
      </c>
    </row>
    <row r="119" spans="1:8" x14ac:dyDescent="0.3">
      <c r="A119" s="13" t="str">
        <f t="shared" si="1"/>
        <v>Scopus_118</v>
      </c>
      <c r="B119" t="s">
        <v>1059</v>
      </c>
      <c r="C119" t="s">
        <v>1058</v>
      </c>
      <c r="D119" t="s">
        <v>29</v>
      </c>
      <c r="E119" t="s">
        <v>1061</v>
      </c>
      <c r="F119">
        <v>2023</v>
      </c>
      <c r="G119">
        <v>0</v>
      </c>
      <c r="H119" t="s">
        <v>1060</v>
      </c>
    </row>
    <row r="120" spans="1:8" x14ac:dyDescent="0.3">
      <c r="A120" s="13" t="str">
        <f t="shared" si="1"/>
        <v>Scopus_119</v>
      </c>
      <c r="B120" t="s">
        <v>1182</v>
      </c>
      <c r="C120" t="s">
        <v>1181</v>
      </c>
      <c r="D120" t="s">
        <v>29</v>
      </c>
      <c r="E120" t="s">
        <v>1184</v>
      </c>
      <c r="F120">
        <v>2022</v>
      </c>
      <c r="G120">
        <v>14</v>
      </c>
      <c r="H120" t="s">
        <v>1183</v>
      </c>
    </row>
    <row r="121" spans="1:8" x14ac:dyDescent="0.3">
      <c r="A121" s="13" t="str">
        <f t="shared" si="1"/>
        <v>Scopus_120</v>
      </c>
      <c r="B121" t="s">
        <v>66</v>
      </c>
      <c r="C121" t="s">
        <v>29</v>
      </c>
      <c r="D121" t="s">
        <v>29</v>
      </c>
      <c r="E121" t="s">
        <v>1899</v>
      </c>
      <c r="F121">
        <v>2021</v>
      </c>
      <c r="G121">
        <v>0</v>
      </c>
      <c r="H121" t="s">
        <v>98</v>
      </c>
    </row>
    <row r="122" spans="1:8" x14ac:dyDescent="0.3">
      <c r="A122" s="13" t="str">
        <f t="shared" si="1"/>
        <v>Scopus_121</v>
      </c>
      <c r="B122" t="s">
        <v>61</v>
      </c>
      <c r="C122" t="s">
        <v>666</v>
      </c>
      <c r="D122" t="s">
        <v>143</v>
      </c>
      <c r="E122" t="s">
        <v>122</v>
      </c>
      <c r="F122">
        <v>2022</v>
      </c>
      <c r="G122">
        <v>1</v>
      </c>
      <c r="H122" t="s">
        <v>89</v>
      </c>
    </row>
    <row r="123" spans="1:8" x14ac:dyDescent="0.3">
      <c r="A123" s="13" t="str">
        <f t="shared" si="1"/>
        <v>Scopus_122</v>
      </c>
      <c r="B123" t="s">
        <v>741</v>
      </c>
      <c r="C123" t="s">
        <v>29</v>
      </c>
      <c r="D123" t="s">
        <v>29</v>
      </c>
      <c r="E123" t="s">
        <v>743</v>
      </c>
      <c r="F123">
        <v>2023</v>
      </c>
      <c r="G123">
        <v>0</v>
      </c>
      <c r="H123" t="s">
        <v>1062</v>
      </c>
    </row>
    <row r="124" spans="1:8" x14ac:dyDescent="0.3">
      <c r="A124" s="13" t="str">
        <f t="shared" si="1"/>
        <v>Scopus_123</v>
      </c>
      <c r="B124" t="s">
        <v>473</v>
      </c>
      <c r="C124" t="s">
        <v>1311</v>
      </c>
      <c r="D124" t="s">
        <v>1314</v>
      </c>
      <c r="E124" t="s">
        <v>1313</v>
      </c>
      <c r="F124">
        <v>2021</v>
      </c>
      <c r="G124">
        <v>5</v>
      </c>
      <c r="H124" t="s">
        <v>1312</v>
      </c>
    </row>
    <row r="125" spans="1:8" x14ac:dyDescent="0.3">
      <c r="A125" s="13" t="str">
        <f t="shared" si="1"/>
        <v>Scopus_124</v>
      </c>
      <c r="B125" t="s">
        <v>1063</v>
      </c>
      <c r="C125" t="s">
        <v>29</v>
      </c>
      <c r="D125" t="s">
        <v>29</v>
      </c>
      <c r="E125" t="s">
        <v>1900</v>
      </c>
      <c r="F125">
        <v>2023</v>
      </c>
      <c r="G125">
        <v>0</v>
      </c>
      <c r="H125" t="s">
        <v>1064</v>
      </c>
    </row>
    <row r="126" spans="1:8" x14ac:dyDescent="0.3">
      <c r="A126" s="13" t="str">
        <f t="shared" si="1"/>
        <v>Scopus_125</v>
      </c>
      <c r="B126" t="s">
        <v>1186</v>
      </c>
      <c r="C126" t="s">
        <v>1185</v>
      </c>
      <c r="D126" t="s">
        <v>1189</v>
      </c>
      <c r="E126" t="s">
        <v>1188</v>
      </c>
      <c r="F126">
        <v>2022</v>
      </c>
      <c r="G126">
        <v>2</v>
      </c>
      <c r="H126" t="s">
        <v>1187</v>
      </c>
    </row>
    <row r="127" spans="1:8" x14ac:dyDescent="0.3">
      <c r="A127" s="13" t="str">
        <f t="shared" si="1"/>
        <v>Scopus_126</v>
      </c>
      <c r="B127" t="s">
        <v>1066</v>
      </c>
      <c r="C127" t="s">
        <v>1065</v>
      </c>
      <c r="D127" t="s">
        <v>1069</v>
      </c>
      <c r="E127" t="s">
        <v>1068</v>
      </c>
      <c r="F127">
        <v>2023</v>
      </c>
      <c r="G127">
        <v>0</v>
      </c>
      <c r="H127" t="s">
        <v>1067</v>
      </c>
    </row>
    <row r="128" spans="1:8" x14ac:dyDescent="0.3">
      <c r="A128" s="13" t="str">
        <f t="shared" si="1"/>
        <v>Scopus_127</v>
      </c>
      <c r="B128" t="s">
        <v>1191</v>
      </c>
      <c r="C128" t="s">
        <v>1190</v>
      </c>
      <c r="D128" t="s">
        <v>1194</v>
      </c>
      <c r="E128" t="s">
        <v>1193</v>
      </c>
      <c r="F128">
        <v>2022</v>
      </c>
      <c r="G128">
        <v>3</v>
      </c>
      <c r="H128" t="s">
        <v>1192</v>
      </c>
    </row>
    <row r="129" spans="1:8" x14ac:dyDescent="0.3">
      <c r="A129" s="13" t="str">
        <f t="shared" si="1"/>
        <v>Scopus_128</v>
      </c>
      <c r="B129" t="s">
        <v>529</v>
      </c>
      <c r="C129" t="s">
        <v>1315</v>
      </c>
      <c r="D129" t="s">
        <v>544</v>
      </c>
      <c r="E129" t="s">
        <v>1317</v>
      </c>
      <c r="F129">
        <v>2022</v>
      </c>
      <c r="G129">
        <v>0</v>
      </c>
      <c r="H129" t="s">
        <v>1316</v>
      </c>
    </row>
    <row r="130" spans="1:8" x14ac:dyDescent="0.3">
      <c r="A130" s="13" t="str">
        <f t="shared" ref="A130:A193" si="2">"Scopus_" &amp; ROW()-1</f>
        <v>Scopus_129</v>
      </c>
      <c r="B130" t="s">
        <v>1196</v>
      </c>
      <c r="C130" t="s">
        <v>1195</v>
      </c>
      <c r="D130" t="s">
        <v>1199</v>
      </c>
      <c r="E130" t="s">
        <v>1198</v>
      </c>
      <c r="F130">
        <v>2022</v>
      </c>
      <c r="G130">
        <v>8</v>
      </c>
      <c r="H130" t="s">
        <v>1197</v>
      </c>
    </row>
    <row r="131" spans="1:8" x14ac:dyDescent="0.3">
      <c r="A131" s="13" t="str">
        <f t="shared" si="2"/>
        <v>Scopus_130</v>
      </c>
      <c r="B131" t="s">
        <v>1201</v>
      </c>
      <c r="C131" t="s">
        <v>1200</v>
      </c>
      <c r="D131" t="s">
        <v>1204</v>
      </c>
      <c r="E131" t="s">
        <v>1203</v>
      </c>
      <c r="F131">
        <v>2022</v>
      </c>
      <c r="G131">
        <v>2</v>
      </c>
      <c r="H131" t="s">
        <v>1202</v>
      </c>
    </row>
    <row r="132" spans="1:8" x14ac:dyDescent="0.3">
      <c r="A132" s="13" t="str">
        <f t="shared" si="2"/>
        <v>Scopus_131</v>
      </c>
      <c r="B132" t="s">
        <v>64</v>
      </c>
      <c r="C132" t="s">
        <v>29</v>
      </c>
      <c r="D132" t="s">
        <v>29</v>
      </c>
      <c r="E132" t="s">
        <v>1901</v>
      </c>
      <c r="F132">
        <v>2022</v>
      </c>
      <c r="G132">
        <v>0</v>
      </c>
      <c r="H132" t="s">
        <v>95</v>
      </c>
    </row>
    <row r="133" spans="1:8" x14ac:dyDescent="0.3">
      <c r="A133" s="13" t="str">
        <f t="shared" si="2"/>
        <v>Scopus_132</v>
      </c>
      <c r="B133" t="s">
        <v>469</v>
      </c>
      <c r="C133" t="s">
        <v>1082</v>
      </c>
      <c r="D133" t="s">
        <v>539</v>
      </c>
      <c r="E133" t="s">
        <v>1084</v>
      </c>
      <c r="F133">
        <v>2022</v>
      </c>
      <c r="G133">
        <v>2</v>
      </c>
      <c r="H133" t="s">
        <v>1083</v>
      </c>
    </row>
    <row r="134" spans="1:8" x14ac:dyDescent="0.3">
      <c r="A134" s="13" t="str">
        <f t="shared" si="2"/>
        <v>Scopus_133</v>
      </c>
      <c r="B134" t="s">
        <v>460</v>
      </c>
      <c r="C134" t="s">
        <v>1318</v>
      </c>
      <c r="D134" t="s">
        <v>1321</v>
      </c>
      <c r="E134" t="s">
        <v>1320</v>
      </c>
      <c r="F134">
        <v>2022</v>
      </c>
      <c r="G134">
        <v>0</v>
      </c>
      <c r="H134" t="s">
        <v>1319</v>
      </c>
    </row>
    <row r="135" spans="1:8" x14ac:dyDescent="0.3">
      <c r="A135" s="13" t="str">
        <f t="shared" si="2"/>
        <v>Scopus_134</v>
      </c>
      <c r="B135" t="s">
        <v>1323</v>
      </c>
      <c r="C135" t="s">
        <v>1322</v>
      </c>
      <c r="D135" t="s">
        <v>1326</v>
      </c>
      <c r="E135" t="s">
        <v>1325</v>
      </c>
      <c r="F135">
        <v>2022</v>
      </c>
      <c r="G135">
        <v>2</v>
      </c>
      <c r="H135" t="s">
        <v>1324</v>
      </c>
    </row>
    <row r="136" spans="1:8" x14ac:dyDescent="0.3">
      <c r="A136" s="13" t="str">
        <f t="shared" si="2"/>
        <v>Scopus_135</v>
      </c>
      <c r="B136" t="s">
        <v>474</v>
      </c>
      <c r="C136" t="s">
        <v>1205</v>
      </c>
      <c r="D136" t="s">
        <v>1208</v>
      </c>
      <c r="E136" t="s">
        <v>1207</v>
      </c>
      <c r="F136">
        <v>2022</v>
      </c>
      <c r="G136">
        <v>16</v>
      </c>
      <c r="H136" t="s">
        <v>1206</v>
      </c>
    </row>
    <row r="137" spans="1:8" x14ac:dyDescent="0.3">
      <c r="A137" s="13" t="str">
        <f t="shared" si="2"/>
        <v>Scopus_136</v>
      </c>
      <c r="B137" t="s">
        <v>1086</v>
      </c>
      <c r="C137" t="s">
        <v>1085</v>
      </c>
      <c r="D137" t="s">
        <v>1089</v>
      </c>
      <c r="E137" t="s">
        <v>1088</v>
      </c>
      <c r="F137">
        <v>2023</v>
      </c>
      <c r="G137">
        <v>2</v>
      </c>
      <c r="H137" t="s">
        <v>1087</v>
      </c>
    </row>
    <row r="138" spans="1:8" x14ac:dyDescent="0.3">
      <c r="A138" s="13" t="str">
        <f t="shared" si="2"/>
        <v>Scopus_137</v>
      </c>
      <c r="B138" t="s">
        <v>20</v>
      </c>
      <c r="C138" t="s">
        <v>663</v>
      </c>
      <c r="D138" t="s">
        <v>140</v>
      </c>
      <c r="E138" t="s">
        <v>120</v>
      </c>
      <c r="F138">
        <v>2023</v>
      </c>
      <c r="G138">
        <v>0</v>
      </c>
      <c r="H138" t="s">
        <v>86</v>
      </c>
    </row>
    <row r="139" spans="1:8" x14ac:dyDescent="0.3">
      <c r="A139" s="13" t="str">
        <f t="shared" si="2"/>
        <v>Scopus_138</v>
      </c>
      <c r="B139" t="s">
        <v>465</v>
      </c>
      <c r="C139" t="s">
        <v>1090</v>
      </c>
      <c r="D139" t="s">
        <v>1093</v>
      </c>
      <c r="E139" t="s">
        <v>1092</v>
      </c>
      <c r="F139">
        <v>2023</v>
      </c>
      <c r="G139">
        <v>1</v>
      </c>
      <c r="H139" t="s">
        <v>1091</v>
      </c>
    </row>
    <row r="140" spans="1:8" x14ac:dyDescent="0.3">
      <c r="A140" s="13" t="str">
        <f t="shared" si="2"/>
        <v>Scopus_139</v>
      </c>
      <c r="B140" t="s">
        <v>1327</v>
      </c>
      <c r="C140" t="s">
        <v>29</v>
      </c>
      <c r="D140" t="s">
        <v>29</v>
      </c>
      <c r="E140" t="s">
        <v>1329</v>
      </c>
      <c r="F140">
        <v>2022</v>
      </c>
      <c r="G140">
        <v>0</v>
      </c>
      <c r="H140" t="s">
        <v>1328</v>
      </c>
    </row>
    <row r="141" spans="1:8" x14ac:dyDescent="0.3">
      <c r="A141" s="13" t="str">
        <f t="shared" si="2"/>
        <v>Scopus_140</v>
      </c>
      <c r="B141" t="s">
        <v>1330</v>
      </c>
      <c r="C141" t="s">
        <v>29</v>
      </c>
      <c r="D141" t="s">
        <v>29</v>
      </c>
      <c r="E141" t="s">
        <v>1332</v>
      </c>
      <c r="F141">
        <v>2022</v>
      </c>
      <c r="G141">
        <v>0</v>
      </c>
      <c r="H141" t="s">
        <v>1331</v>
      </c>
    </row>
    <row r="142" spans="1:8" x14ac:dyDescent="0.3">
      <c r="A142" s="13" t="str">
        <f t="shared" si="2"/>
        <v>Scopus_141</v>
      </c>
      <c r="B142" t="s">
        <v>1334</v>
      </c>
      <c r="C142" t="s">
        <v>1333</v>
      </c>
      <c r="D142" t="s">
        <v>1337</v>
      </c>
      <c r="E142" t="s">
        <v>1336</v>
      </c>
      <c r="F142">
        <v>2021</v>
      </c>
      <c r="G142">
        <v>0</v>
      </c>
      <c r="H142" t="s">
        <v>1335</v>
      </c>
    </row>
    <row r="143" spans="1:8" x14ac:dyDescent="0.3">
      <c r="A143" s="13" t="str">
        <f t="shared" si="2"/>
        <v>Scopus_142</v>
      </c>
      <c r="B143" t="s">
        <v>466</v>
      </c>
      <c r="C143" t="s">
        <v>1094</v>
      </c>
      <c r="D143" t="s">
        <v>1097</v>
      </c>
      <c r="E143" t="s">
        <v>1096</v>
      </c>
      <c r="F143">
        <v>2023</v>
      </c>
      <c r="G143">
        <v>0</v>
      </c>
      <c r="H143" t="s">
        <v>1095</v>
      </c>
    </row>
    <row r="144" spans="1:8" x14ac:dyDescent="0.3">
      <c r="A144" s="13" t="str">
        <f t="shared" si="2"/>
        <v>Scopus_143</v>
      </c>
      <c r="B144" t="s">
        <v>1099</v>
      </c>
      <c r="C144" t="s">
        <v>1098</v>
      </c>
      <c r="D144" t="s">
        <v>1102</v>
      </c>
      <c r="E144" t="s">
        <v>1101</v>
      </c>
      <c r="F144">
        <v>2023</v>
      </c>
      <c r="G144">
        <v>6</v>
      </c>
      <c r="H144" t="s">
        <v>1100</v>
      </c>
    </row>
    <row r="145" spans="1:8" x14ac:dyDescent="0.3">
      <c r="A145" s="13" t="str">
        <f t="shared" si="2"/>
        <v>Scopus_144</v>
      </c>
      <c r="B145" t="s">
        <v>1210</v>
      </c>
      <c r="C145" t="s">
        <v>1209</v>
      </c>
      <c r="D145" t="s">
        <v>1213</v>
      </c>
      <c r="E145" t="s">
        <v>1212</v>
      </c>
      <c r="F145">
        <v>2022</v>
      </c>
      <c r="G145">
        <v>8</v>
      </c>
      <c r="H145" t="s">
        <v>1211</v>
      </c>
    </row>
    <row r="146" spans="1:8" x14ac:dyDescent="0.3">
      <c r="A146" s="13" t="str">
        <f t="shared" si="2"/>
        <v>Scopus_145</v>
      </c>
      <c r="B146" t="s">
        <v>1215</v>
      </c>
      <c r="C146" t="s">
        <v>1214</v>
      </c>
      <c r="D146" t="s">
        <v>1218</v>
      </c>
      <c r="E146" t="s">
        <v>1217</v>
      </c>
      <c r="F146">
        <v>2022</v>
      </c>
      <c r="G146">
        <v>0</v>
      </c>
      <c r="H146" t="s">
        <v>1216</v>
      </c>
    </row>
    <row r="147" spans="1:8" x14ac:dyDescent="0.3">
      <c r="A147" s="13" t="str">
        <f t="shared" si="2"/>
        <v>Scopus_146</v>
      </c>
      <c r="B147" t="s">
        <v>18</v>
      </c>
      <c r="C147" t="s">
        <v>669</v>
      </c>
      <c r="D147" t="s">
        <v>29</v>
      </c>
      <c r="E147" t="s">
        <v>125</v>
      </c>
      <c r="F147">
        <v>2022</v>
      </c>
      <c r="G147">
        <v>2</v>
      </c>
      <c r="H147" t="s">
        <v>93</v>
      </c>
    </row>
    <row r="148" spans="1:8" x14ac:dyDescent="0.3">
      <c r="A148" s="13" t="str">
        <f t="shared" si="2"/>
        <v>Scopus_147</v>
      </c>
      <c r="B148" t="s">
        <v>65</v>
      </c>
      <c r="C148" t="s">
        <v>671</v>
      </c>
      <c r="D148" t="s">
        <v>147</v>
      </c>
      <c r="E148" t="s">
        <v>1902</v>
      </c>
      <c r="F148">
        <v>2021</v>
      </c>
      <c r="G148">
        <v>3</v>
      </c>
      <c r="H148" t="s">
        <v>96</v>
      </c>
    </row>
    <row r="149" spans="1:8" x14ac:dyDescent="0.3">
      <c r="A149" s="13" t="str">
        <f t="shared" si="2"/>
        <v>Scopus_148</v>
      </c>
      <c r="B149" t="s">
        <v>41</v>
      </c>
      <c r="C149" t="s">
        <v>661</v>
      </c>
      <c r="D149" t="s">
        <v>139</v>
      </c>
      <c r="E149" t="s">
        <v>116</v>
      </c>
      <c r="F149">
        <v>2023</v>
      </c>
      <c r="G149">
        <v>0</v>
      </c>
      <c r="H149" t="s">
        <v>82</v>
      </c>
    </row>
    <row r="150" spans="1:8" x14ac:dyDescent="0.3">
      <c r="A150" s="13" t="str">
        <f t="shared" si="2"/>
        <v>Scopus_149</v>
      </c>
      <c r="B150" t="s">
        <v>1220</v>
      </c>
      <c r="C150" t="s">
        <v>1219</v>
      </c>
      <c r="D150" t="s">
        <v>1223</v>
      </c>
      <c r="E150" t="s">
        <v>1222</v>
      </c>
      <c r="F150">
        <v>2022</v>
      </c>
      <c r="G150">
        <v>9</v>
      </c>
      <c r="H150" t="s">
        <v>1221</v>
      </c>
    </row>
    <row r="151" spans="1:8" x14ac:dyDescent="0.3">
      <c r="A151" s="13" t="str">
        <f t="shared" si="2"/>
        <v>Scopus_150</v>
      </c>
      <c r="B151" t="s">
        <v>498</v>
      </c>
      <c r="C151" t="s">
        <v>1338</v>
      </c>
      <c r="D151" t="s">
        <v>1341</v>
      </c>
      <c r="E151" t="s">
        <v>1340</v>
      </c>
      <c r="F151">
        <v>2021</v>
      </c>
      <c r="G151">
        <v>6</v>
      </c>
      <c r="H151" t="s">
        <v>1339</v>
      </c>
    </row>
    <row r="152" spans="1:8" x14ac:dyDescent="0.3">
      <c r="A152" s="13" t="str">
        <f t="shared" si="2"/>
        <v>Scopus_151</v>
      </c>
      <c r="B152" t="s">
        <v>517</v>
      </c>
      <c r="C152" t="s">
        <v>1103</v>
      </c>
      <c r="D152" t="s">
        <v>542</v>
      </c>
      <c r="E152" t="s">
        <v>1105</v>
      </c>
      <c r="F152">
        <v>2023</v>
      </c>
      <c r="G152">
        <v>0</v>
      </c>
      <c r="H152" t="s">
        <v>1104</v>
      </c>
    </row>
    <row r="153" spans="1:8" x14ac:dyDescent="0.3">
      <c r="A153" s="13" t="str">
        <f t="shared" si="2"/>
        <v>Scopus_152</v>
      </c>
      <c r="B153" t="s">
        <v>1225</v>
      </c>
      <c r="C153" t="s">
        <v>1224</v>
      </c>
      <c r="D153" t="s">
        <v>29</v>
      </c>
      <c r="E153" t="s">
        <v>1227</v>
      </c>
      <c r="F153">
        <v>2022</v>
      </c>
      <c r="G153">
        <v>1</v>
      </c>
      <c r="H153" t="s">
        <v>1226</v>
      </c>
    </row>
    <row r="154" spans="1:8" x14ac:dyDescent="0.3">
      <c r="A154" s="13" t="str">
        <f t="shared" si="2"/>
        <v>Scopus_153</v>
      </c>
      <c r="B154" t="s">
        <v>451</v>
      </c>
      <c r="C154" t="s">
        <v>1228</v>
      </c>
      <c r="D154" t="s">
        <v>29</v>
      </c>
      <c r="E154" t="s">
        <v>1230</v>
      </c>
      <c r="F154">
        <v>2022</v>
      </c>
      <c r="G154">
        <v>4</v>
      </c>
      <c r="H154" t="s">
        <v>1229</v>
      </c>
    </row>
    <row r="155" spans="1:8" x14ac:dyDescent="0.3">
      <c r="A155" s="13" t="str">
        <f t="shared" si="2"/>
        <v>Scopus_154</v>
      </c>
      <c r="B155" t="s">
        <v>1231</v>
      </c>
      <c r="C155" t="s">
        <v>29</v>
      </c>
      <c r="D155" t="s">
        <v>29</v>
      </c>
      <c r="E155" t="s">
        <v>1903</v>
      </c>
      <c r="F155">
        <v>2022</v>
      </c>
      <c r="G155">
        <v>0</v>
      </c>
      <c r="H155" t="s">
        <v>1232</v>
      </c>
    </row>
    <row r="156" spans="1:8" x14ac:dyDescent="0.3">
      <c r="A156" s="13" t="str">
        <f t="shared" si="2"/>
        <v>Scopus_155</v>
      </c>
      <c r="B156" t="s">
        <v>1234</v>
      </c>
      <c r="C156" t="s">
        <v>1233</v>
      </c>
      <c r="D156" t="s">
        <v>1237</v>
      </c>
      <c r="E156" t="s">
        <v>1236</v>
      </c>
      <c r="F156">
        <v>2022</v>
      </c>
      <c r="G156">
        <v>5</v>
      </c>
      <c r="H156" t="s">
        <v>1235</v>
      </c>
    </row>
    <row r="157" spans="1:8" x14ac:dyDescent="0.3">
      <c r="A157" s="13" t="str">
        <f t="shared" si="2"/>
        <v>Scopus_156</v>
      </c>
      <c r="B157" t="s">
        <v>1343</v>
      </c>
      <c r="C157" t="s">
        <v>1342</v>
      </c>
      <c r="D157" t="s">
        <v>1346</v>
      </c>
      <c r="E157" t="s">
        <v>1345</v>
      </c>
      <c r="F157">
        <v>2021</v>
      </c>
      <c r="G157">
        <v>2</v>
      </c>
      <c r="H157" t="s">
        <v>1344</v>
      </c>
    </row>
    <row r="158" spans="1:8" x14ac:dyDescent="0.3">
      <c r="A158" s="13" t="str">
        <f t="shared" si="2"/>
        <v>Scopus_157</v>
      </c>
      <c r="B158" t="s">
        <v>24</v>
      </c>
      <c r="C158" t="s">
        <v>664</v>
      </c>
      <c r="D158" t="s">
        <v>141</v>
      </c>
      <c r="E158" t="s">
        <v>1904</v>
      </c>
      <c r="F158">
        <v>2023</v>
      </c>
      <c r="G158">
        <v>4</v>
      </c>
      <c r="H158" t="s">
        <v>87</v>
      </c>
    </row>
    <row r="159" spans="1:8" x14ac:dyDescent="0.3">
      <c r="A159" s="13" t="str">
        <f t="shared" si="2"/>
        <v>Scopus_158</v>
      </c>
      <c r="B159" t="s">
        <v>1238</v>
      </c>
      <c r="C159" t="s">
        <v>29</v>
      </c>
      <c r="D159" t="s">
        <v>29</v>
      </c>
      <c r="E159" t="s">
        <v>1240</v>
      </c>
      <c r="F159">
        <v>2022</v>
      </c>
      <c r="G159">
        <v>0</v>
      </c>
      <c r="H159" t="s">
        <v>1239</v>
      </c>
    </row>
    <row r="160" spans="1:8" x14ac:dyDescent="0.3">
      <c r="A160" s="13" t="str">
        <f t="shared" si="2"/>
        <v>Scopus_159</v>
      </c>
      <c r="B160" t="s">
        <v>499</v>
      </c>
      <c r="C160" t="s">
        <v>1241</v>
      </c>
      <c r="D160" t="s">
        <v>1244</v>
      </c>
      <c r="E160" t="s">
        <v>1243</v>
      </c>
      <c r="F160">
        <v>2022</v>
      </c>
      <c r="G160">
        <v>6</v>
      </c>
      <c r="H160" t="s">
        <v>1242</v>
      </c>
    </row>
    <row r="161" spans="1:8" x14ac:dyDescent="0.3">
      <c r="A161" s="13" t="str">
        <f t="shared" si="2"/>
        <v>Scopus_160</v>
      </c>
      <c r="B161" t="s">
        <v>1348</v>
      </c>
      <c r="C161" t="s">
        <v>1347</v>
      </c>
      <c r="D161" t="s">
        <v>1351</v>
      </c>
      <c r="E161" t="s">
        <v>1350</v>
      </c>
      <c r="F161">
        <v>2021</v>
      </c>
      <c r="G161">
        <v>0</v>
      </c>
      <c r="H161" t="s">
        <v>1349</v>
      </c>
    </row>
    <row r="162" spans="1:8" x14ac:dyDescent="0.3">
      <c r="A162" s="13" t="str">
        <f t="shared" si="2"/>
        <v>Scopus_161</v>
      </c>
      <c r="B162" t="s">
        <v>1246</v>
      </c>
      <c r="C162" t="s">
        <v>1245</v>
      </c>
      <c r="D162" t="s">
        <v>29</v>
      </c>
      <c r="E162" t="s">
        <v>1248</v>
      </c>
      <c r="F162">
        <v>2022</v>
      </c>
      <c r="G162">
        <v>11</v>
      </c>
      <c r="H162" t="s">
        <v>1247</v>
      </c>
    </row>
    <row r="163" spans="1:8" x14ac:dyDescent="0.3">
      <c r="A163" s="13" t="str">
        <f t="shared" si="2"/>
        <v>Scopus_162</v>
      </c>
      <c r="B163" t="s">
        <v>448</v>
      </c>
      <c r="C163" t="s">
        <v>1249</v>
      </c>
      <c r="D163" t="s">
        <v>1252</v>
      </c>
      <c r="E163" t="s">
        <v>1251</v>
      </c>
      <c r="F163">
        <v>2022</v>
      </c>
      <c r="G163">
        <v>8</v>
      </c>
      <c r="H163" t="s">
        <v>1250</v>
      </c>
    </row>
    <row r="164" spans="1:8" x14ac:dyDescent="0.3">
      <c r="A164" s="13" t="str">
        <f t="shared" si="2"/>
        <v>Scopus_163</v>
      </c>
      <c r="B164" t="s">
        <v>439</v>
      </c>
      <c r="C164" t="s">
        <v>1253</v>
      </c>
      <c r="D164" t="s">
        <v>538</v>
      </c>
      <c r="E164" t="s">
        <v>1255</v>
      </c>
      <c r="F164">
        <v>2022</v>
      </c>
      <c r="G164">
        <v>1</v>
      </c>
      <c r="H164" t="s">
        <v>1254</v>
      </c>
    </row>
    <row r="165" spans="1:8" x14ac:dyDescent="0.3">
      <c r="A165" s="13" t="str">
        <f t="shared" si="2"/>
        <v>Scopus_164</v>
      </c>
      <c r="B165" t="s">
        <v>489</v>
      </c>
      <c r="C165" t="s">
        <v>1256</v>
      </c>
      <c r="D165" t="s">
        <v>1259</v>
      </c>
      <c r="E165" t="s">
        <v>1258</v>
      </c>
      <c r="F165">
        <v>2022</v>
      </c>
      <c r="G165">
        <v>7</v>
      </c>
      <c r="H165" t="s">
        <v>1257</v>
      </c>
    </row>
    <row r="166" spans="1:8" x14ac:dyDescent="0.3">
      <c r="A166" s="13" t="str">
        <f t="shared" si="2"/>
        <v>Scopus_165</v>
      </c>
      <c r="B166" t="s">
        <v>1261</v>
      </c>
      <c r="C166" t="s">
        <v>1260</v>
      </c>
      <c r="D166" t="s">
        <v>1264</v>
      </c>
      <c r="E166" t="s">
        <v>1263</v>
      </c>
      <c r="F166">
        <v>2022</v>
      </c>
      <c r="G166">
        <v>1</v>
      </c>
      <c r="H166" t="s">
        <v>1262</v>
      </c>
    </row>
    <row r="167" spans="1:8" x14ac:dyDescent="0.3">
      <c r="A167" s="13" t="str">
        <f t="shared" si="2"/>
        <v>Scopus_166</v>
      </c>
      <c r="B167" t="s">
        <v>22</v>
      </c>
      <c r="C167" t="s">
        <v>667</v>
      </c>
      <c r="D167" t="s">
        <v>144</v>
      </c>
      <c r="E167" t="s">
        <v>123</v>
      </c>
      <c r="F167">
        <v>2022</v>
      </c>
      <c r="G167">
        <v>6</v>
      </c>
      <c r="H167" t="s">
        <v>90</v>
      </c>
    </row>
    <row r="168" spans="1:8" x14ac:dyDescent="0.3">
      <c r="A168" s="13" t="str">
        <f t="shared" si="2"/>
        <v>Scopus_167</v>
      </c>
      <c r="B168" t="s">
        <v>1353</v>
      </c>
      <c r="C168" t="s">
        <v>1352</v>
      </c>
      <c r="D168" t="s">
        <v>1356</v>
      </c>
      <c r="E168" t="s">
        <v>1355</v>
      </c>
      <c r="F168">
        <v>2021</v>
      </c>
      <c r="G168">
        <v>1</v>
      </c>
      <c r="H168" t="s">
        <v>1354</v>
      </c>
    </row>
    <row r="169" spans="1:8" x14ac:dyDescent="0.3">
      <c r="A169" s="13" t="str">
        <f t="shared" si="2"/>
        <v>Scopus_168</v>
      </c>
      <c r="B169" t="s">
        <v>490</v>
      </c>
      <c r="C169" t="s">
        <v>1357</v>
      </c>
      <c r="D169" t="s">
        <v>1360</v>
      </c>
      <c r="E169" t="s">
        <v>1359</v>
      </c>
      <c r="F169">
        <v>2021</v>
      </c>
      <c r="G169">
        <v>14</v>
      </c>
      <c r="H169" t="s">
        <v>1358</v>
      </c>
    </row>
    <row r="170" spans="1:8" x14ac:dyDescent="0.3">
      <c r="A170" s="13" t="str">
        <f t="shared" si="2"/>
        <v>Scopus_169</v>
      </c>
      <c r="B170" t="s">
        <v>475</v>
      </c>
      <c r="C170" t="s">
        <v>1265</v>
      </c>
      <c r="D170" t="s">
        <v>1268</v>
      </c>
      <c r="E170" t="s">
        <v>1267</v>
      </c>
      <c r="F170">
        <v>2022</v>
      </c>
      <c r="G170">
        <v>34</v>
      </c>
      <c r="H170" t="s">
        <v>1266</v>
      </c>
    </row>
    <row r="171" spans="1:8" x14ac:dyDescent="0.3">
      <c r="A171" s="13" t="str">
        <f t="shared" si="2"/>
        <v>Scopus_170</v>
      </c>
      <c r="B171" t="s">
        <v>512</v>
      </c>
      <c r="C171" t="s">
        <v>1361</v>
      </c>
      <c r="D171" t="s">
        <v>1364</v>
      </c>
      <c r="E171" t="s">
        <v>1363</v>
      </c>
      <c r="F171">
        <v>2021</v>
      </c>
      <c r="G171">
        <v>5</v>
      </c>
      <c r="H171" t="s">
        <v>1362</v>
      </c>
    </row>
    <row r="172" spans="1:8" x14ac:dyDescent="0.3">
      <c r="A172" s="13" t="str">
        <f t="shared" si="2"/>
        <v>Scopus_171</v>
      </c>
      <c r="B172" t="s">
        <v>462</v>
      </c>
      <c r="C172" t="s">
        <v>1269</v>
      </c>
      <c r="D172" t="s">
        <v>29</v>
      </c>
      <c r="E172" t="s">
        <v>1271</v>
      </c>
      <c r="F172">
        <v>2022</v>
      </c>
      <c r="G172">
        <v>6</v>
      </c>
      <c r="H172" t="s">
        <v>1270</v>
      </c>
    </row>
    <row r="173" spans="1:8" x14ac:dyDescent="0.3">
      <c r="A173" s="13" t="str">
        <f t="shared" si="2"/>
        <v>Scopus_172</v>
      </c>
      <c r="B173" t="s">
        <v>1115</v>
      </c>
      <c r="C173" t="s">
        <v>29</v>
      </c>
      <c r="D173" t="s">
        <v>29</v>
      </c>
      <c r="E173" t="s">
        <v>1117</v>
      </c>
      <c r="F173">
        <v>2023</v>
      </c>
      <c r="G173">
        <v>0</v>
      </c>
      <c r="H173" t="s">
        <v>1116</v>
      </c>
    </row>
    <row r="174" spans="1:8" x14ac:dyDescent="0.3">
      <c r="A174" s="13" t="str">
        <f t="shared" si="2"/>
        <v>Scopus_173</v>
      </c>
      <c r="B174" t="s">
        <v>1366</v>
      </c>
      <c r="C174" t="s">
        <v>1365</v>
      </c>
      <c r="D174" t="s">
        <v>1368</v>
      </c>
      <c r="E174" t="s">
        <v>1905</v>
      </c>
      <c r="F174">
        <v>2021</v>
      </c>
      <c r="G174">
        <v>16</v>
      </c>
      <c r="H174" t="s">
        <v>1367</v>
      </c>
    </row>
    <row r="175" spans="1:8" x14ac:dyDescent="0.3">
      <c r="A175" s="13" t="str">
        <f t="shared" si="2"/>
        <v>Scopus_174</v>
      </c>
      <c r="B175" t="s">
        <v>1119</v>
      </c>
      <c r="C175" t="s">
        <v>1118</v>
      </c>
      <c r="D175" t="s">
        <v>29</v>
      </c>
      <c r="E175" t="s">
        <v>1121</v>
      </c>
      <c r="F175">
        <v>2023</v>
      </c>
      <c r="G175">
        <v>0</v>
      </c>
      <c r="H175" t="s">
        <v>1120</v>
      </c>
    </row>
    <row r="176" spans="1:8" x14ac:dyDescent="0.3">
      <c r="A176" s="13" t="str">
        <f t="shared" si="2"/>
        <v>Scopus_175</v>
      </c>
      <c r="B176" t="s">
        <v>27</v>
      </c>
      <c r="C176" t="s">
        <v>668</v>
      </c>
      <c r="D176" t="s">
        <v>145</v>
      </c>
      <c r="E176" t="s">
        <v>1906</v>
      </c>
      <c r="F176">
        <v>2022</v>
      </c>
      <c r="G176">
        <v>1</v>
      </c>
      <c r="H176" t="s">
        <v>91</v>
      </c>
    </row>
    <row r="177" spans="1:8" x14ac:dyDescent="0.3">
      <c r="A177" s="13" t="str">
        <f t="shared" si="2"/>
        <v>Scopus_176</v>
      </c>
      <c r="B177" t="s">
        <v>487</v>
      </c>
      <c r="C177" t="s">
        <v>1122</v>
      </c>
      <c r="D177" t="s">
        <v>540</v>
      </c>
      <c r="E177" t="s">
        <v>1124</v>
      </c>
      <c r="F177">
        <v>2023</v>
      </c>
      <c r="G177">
        <v>2</v>
      </c>
      <c r="H177" t="s">
        <v>1123</v>
      </c>
    </row>
    <row r="178" spans="1:8" x14ac:dyDescent="0.3">
      <c r="A178" s="13" t="str">
        <f t="shared" si="2"/>
        <v>Scopus_177</v>
      </c>
      <c r="B178" t="s">
        <v>1370</v>
      </c>
      <c r="C178" t="s">
        <v>1369</v>
      </c>
      <c r="D178" t="s">
        <v>1373</v>
      </c>
      <c r="E178" t="s">
        <v>1372</v>
      </c>
      <c r="F178">
        <v>2022</v>
      </c>
      <c r="G178">
        <v>6</v>
      </c>
      <c r="H178" t="s">
        <v>1371</v>
      </c>
    </row>
    <row r="179" spans="1:8" x14ac:dyDescent="0.3">
      <c r="A179" s="13" t="str">
        <f t="shared" si="2"/>
        <v>Scopus_178</v>
      </c>
      <c r="B179" t="s">
        <v>42</v>
      </c>
      <c r="C179" t="s">
        <v>665</v>
      </c>
      <c r="D179" t="s">
        <v>142</v>
      </c>
      <c r="E179" t="s">
        <v>121</v>
      </c>
      <c r="F179">
        <v>2023</v>
      </c>
      <c r="G179">
        <v>0</v>
      </c>
      <c r="H179" t="s">
        <v>88</v>
      </c>
    </row>
    <row r="180" spans="1:8" x14ac:dyDescent="0.3">
      <c r="A180" s="13" t="str">
        <f t="shared" si="2"/>
        <v>Scopus_179</v>
      </c>
      <c r="B180" t="s">
        <v>62</v>
      </c>
      <c r="C180" t="s">
        <v>29</v>
      </c>
      <c r="D180" t="s">
        <v>29</v>
      </c>
      <c r="E180" t="s">
        <v>124</v>
      </c>
      <c r="F180">
        <v>2022</v>
      </c>
      <c r="G180">
        <v>0</v>
      </c>
      <c r="H180" t="s">
        <v>92</v>
      </c>
    </row>
    <row r="181" spans="1:8" x14ac:dyDescent="0.3">
      <c r="A181" s="13" t="str">
        <f t="shared" si="2"/>
        <v>Scopus_180</v>
      </c>
      <c r="B181" t="s">
        <v>493</v>
      </c>
      <c r="C181" t="s">
        <v>1272</v>
      </c>
      <c r="D181" t="s">
        <v>29</v>
      </c>
      <c r="E181" t="s">
        <v>1274</v>
      </c>
      <c r="F181">
        <v>2022</v>
      </c>
      <c r="G181">
        <v>1</v>
      </c>
      <c r="H181" t="s">
        <v>1273</v>
      </c>
    </row>
    <row r="182" spans="1:8" x14ac:dyDescent="0.3">
      <c r="A182" s="13" t="str">
        <f t="shared" si="2"/>
        <v>Scopus_181</v>
      </c>
      <c r="B182" t="s">
        <v>1375</v>
      </c>
      <c r="C182" t="s">
        <v>1374</v>
      </c>
      <c r="D182" t="s">
        <v>1378</v>
      </c>
      <c r="E182" t="s">
        <v>1377</v>
      </c>
      <c r="F182">
        <v>2022</v>
      </c>
      <c r="G182">
        <v>8</v>
      </c>
      <c r="H182" t="s">
        <v>1376</v>
      </c>
    </row>
    <row r="183" spans="1:8" x14ac:dyDescent="0.3">
      <c r="A183" s="13" t="str">
        <f t="shared" si="2"/>
        <v>Scopus_182</v>
      </c>
      <c r="B183" t="s">
        <v>1130</v>
      </c>
      <c r="C183" t="s">
        <v>1129</v>
      </c>
      <c r="D183" t="s">
        <v>1133</v>
      </c>
      <c r="E183" t="s">
        <v>1132</v>
      </c>
      <c r="F183">
        <v>2023</v>
      </c>
      <c r="G183">
        <v>0</v>
      </c>
      <c r="H183" t="s">
        <v>1131</v>
      </c>
    </row>
    <row r="184" spans="1:8" x14ac:dyDescent="0.3">
      <c r="A184" s="13" t="str">
        <f t="shared" si="2"/>
        <v>Scopus_183</v>
      </c>
      <c r="B184" t="s">
        <v>1379</v>
      </c>
      <c r="C184" t="s">
        <v>29</v>
      </c>
      <c r="D184" t="s">
        <v>29</v>
      </c>
      <c r="E184" t="s">
        <v>1907</v>
      </c>
      <c r="F184">
        <v>2022</v>
      </c>
      <c r="G184">
        <v>0</v>
      </c>
      <c r="H184" t="s">
        <v>1380</v>
      </c>
    </row>
    <row r="185" spans="1:8" x14ac:dyDescent="0.3">
      <c r="A185" s="13" t="str">
        <f t="shared" si="2"/>
        <v>Scopus_184</v>
      </c>
      <c r="B185" t="s">
        <v>527</v>
      </c>
      <c r="C185" t="s">
        <v>1134</v>
      </c>
      <c r="D185" t="s">
        <v>1137</v>
      </c>
      <c r="E185" t="s">
        <v>1136</v>
      </c>
      <c r="F185">
        <v>2022</v>
      </c>
      <c r="G185">
        <v>5</v>
      </c>
      <c r="H185" t="s">
        <v>1135</v>
      </c>
    </row>
    <row r="186" spans="1:8" x14ac:dyDescent="0.3">
      <c r="A186" s="13" t="str">
        <f t="shared" si="2"/>
        <v>Scopus_185</v>
      </c>
      <c r="B186" t="s">
        <v>453</v>
      </c>
      <c r="C186" t="s">
        <v>1381</v>
      </c>
      <c r="D186" t="s">
        <v>1384</v>
      </c>
      <c r="E186" t="s">
        <v>1383</v>
      </c>
      <c r="F186">
        <v>2021</v>
      </c>
      <c r="G186">
        <v>11</v>
      </c>
      <c r="H186" t="s">
        <v>1382</v>
      </c>
    </row>
    <row r="187" spans="1:8" x14ac:dyDescent="0.3">
      <c r="A187" s="13" t="str">
        <f t="shared" si="2"/>
        <v>Scopus_186</v>
      </c>
      <c r="B187" t="s">
        <v>1275</v>
      </c>
      <c r="C187" t="s">
        <v>1046</v>
      </c>
      <c r="D187" t="s">
        <v>1278</v>
      </c>
      <c r="E187" t="s">
        <v>1277</v>
      </c>
      <c r="F187">
        <v>2022</v>
      </c>
      <c r="G187">
        <v>5</v>
      </c>
      <c r="H187" t="s">
        <v>1276</v>
      </c>
    </row>
    <row r="188" spans="1:8" x14ac:dyDescent="0.3">
      <c r="A188" s="13" t="str">
        <f t="shared" si="2"/>
        <v>Scopus_187</v>
      </c>
      <c r="B188" t="s">
        <v>478</v>
      </c>
      <c r="C188" t="s">
        <v>1279</v>
      </c>
      <c r="D188" t="s">
        <v>1282</v>
      </c>
      <c r="E188" t="s">
        <v>1281</v>
      </c>
      <c r="F188">
        <v>2022</v>
      </c>
      <c r="G188">
        <v>5</v>
      </c>
      <c r="H188" t="s">
        <v>1280</v>
      </c>
    </row>
    <row r="189" spans="1:8" x14ac:dyDescent="0.3">
      <c r="A189" s="13" t="str">
        <f t="shared" si="2"/>
        <v>Scopus_188</v>
      </c>
      <c r="B189" t="s">
        <v>25</v>
      </c>
      <c r="C189" t="s">
        <v>672</v>
      </c>
      <c r="D189" t="s">
        <v>148</v>
      </c>
      <c r="E189" t="s">
        <v>127</v>
      </c>
      <c r="F189">
        <v>2022</v>
      </c>
      <c r="G189">
        <v>9</v>
      </c>
      <c r="H189" t="s">
        <v>97</v>
      </c>
    </row>
    <row r="190" spans="1:8" x14ac:dyDescent="0.3">
      <c r="A190" s="13" t="str">
        <f t="shared" si="2"/>
        <v>Scopus_189</v>
      </c>
      <c r="B190" t="s">
        <v>1143</v>
      </c>
      <c r="C190" t="s">
        <v>1142</v>
      </c>
      <c r="D190" t="s">
        <v>29</v>
      </c>
      <c r="E190" t="s">
        <v>1908</v>
      </c>
      <c r="F190">
        <v>2022</v>
      </c>
      <c r="G190">
        <v>18</v>
      </c>
      <c r="H190" t="s">
        <v>1144</v>
      </c>
    </row>
    <row r="191" spans="1:8" x14ac:dyDescent="0.3">
      <c r="A191" s="13" t="str">
        <f t="shared" si="2"/>
        <v>Scopus_190</v>
      </c>
      <c r="B191" t="s">
        <v>483</v>
      </c>
      <c r="C191" t="s">
        <v>1146</v>
      </c>
      <c r="D191" t="s">
        <v>1149</v>
      </c>
      <c r="E191" t="s">
        <v>1148</v>
      </c>
      <c r="F191">
        <v>2023</v>
      </c>
      <c r="G191">
        <v>3</v>
      </c>
      <c r="H191" t="s">
        <v>1147</v>
      </c>
    </row>
    <row r="192" spans="1:8" x14ac:dyDescent="0.3">
      <c r="A192" s="13" t="str">
        <f t="shared" si="2"/>
        <v>Scopus_191</v>
      </c>
      <c r="B192" t="s">
        <v>479</v>
      </c>
      <c r="C192" t="s">
        <v>1283</v>
      </c>
      <c r="D192" t="s">
        <v>1286</v>
      </c>
      <c r="E192" t="s">
        <v>1285</v>
      </c>
      <c r="F192">
        <v>2022</v>
      </c>
      <c r="G192">
        <v>0</v>
      </c>
      <c r="H192" t="s">
        <v>1284</v>
      </c>
    </row>
    <row r="193" spans="1:8" x14ac:dyDescent="0.3">
      <c r="A193" s="13" t="str">
        <f t="shared" si="2"/>
        <v>Scopus_192</v>
      </c>
      <c r="B193" t="s">
        <v>1288</v>
      </c>
      <c r="C193" t="s">
        <v>1287</v>
      </c>
      <c r="D193" t="s">
        <v>1291</v>
      </c>
      <c r="E193" t="s">
        <v>1290</v>
      </c>
      <c r="F193">
        <v>2022</v>
      </c>
      <c r="G193">
        <v>0</v>
      </c>
      <c r="H193" t="s">
        <v>1289</v>
      </c>
    </row>
    <row r="194" spans="1:8" x14ac:dyDescent="0.3">
      <c r="A194" s="13" t="str">
        <f t="shared" ref="A194:A257" si="3">"Scopus_" &amp; ROW()-1</f>
        <v>Scopus_193</v>
      </c>
      <c r="B194" t="s">
        <v>1386</v>
      </c>
      <c r="C194" t="s">
        <v>1385</v>
      </c>
      <c r="D194" t="s">
        <v>29</v>
      </c>
      <c r="E194" t="s">
        <v>1388</v>
      </c>
      <c r="F194">
        <v>2021</v>
      </c>
      <c r="G194">
        <v>0</v>
      </c>
      <c r="H194" t="s">
        <v>1387</v>
      </c>
    </row>
    <row r="195" spans="1:8" x14ac:dyDescent="0.3">
      <c r="A195" s="13" t="str">
        <f t="shared" si="3"/>
        <v>Scopus_194</v>
      </c>
      <c r="B195" t="s">
        <v>1151</v>
      </c>
      <c r="C195" t="s">
        <v>1150</v>
      </c>
      <c r="D195" t="s">
        <v>1154</v>
      </c>
      <c r="E195" t="s">
        <v>1153</v>
      </c>
      <c r="F195">
        <v>2023</v>
      </c>
      <c r="G195">
        <v>0</v>
      </c>
      <c r="H195" t="s">
        <v>1152</v>
      </c>
    </row>
    <row r="196" spans="1:8" x14ac:dyDescent="0.3">
      <c r="A196" s="13" t="str">
        <f t="shared" si="3"/>
        <v>Scopus_195</v>
      </c>
      <c r="B196" t="s">
        <v>1390</v>
      </c>
      <c r="C196" t="s">
        <v>1389</v>
      </c>
      <c r="D196" t="s">
        <v>1393</v>
      </c>
      <c r="E196" t="s">
        <v>1392</v>
      </c>
      <c r="F196">
        <v>2022</v>
      </c>
      <c r="G196">
        <v>1</v>
      </c>
      <c r="H196" t="s">
        <v>1391</v>
      </c>
    </row>
    <row r="197" spans="1:8" x14ac:dyDescent="0.3">
      <c r="A197" s="13" t="str">
        <f t="shared" si="3"/>
        <v>Scopus_196</v>
      </c>
      <c r="B197" t="s">
        <v>1156</v>
      </c>
      <c r="C197" t="s">
        <v>1155</v>
      </c>
      <c r="D197" t="s">
        <v>1159</v>
      </c>
      <c r="E197" t="s">
        <v>1158</v>
      </c>
      <c r="F197">
        <v>2023</v>
      </c>
      <c r="G197">
        <v>0</v>
      </c>
      <c r="H197" t="s">
        <v>1157</v>
      </c>
    </row>
    <row r="198" spans="1:8" x14ac:dyDescent="0.3">
      <c r="A198" s="13" t="str">
        <f t="shared" si="3"/>
        <v>Scopus_197</v>
      </c>
      <c r="B198" t="s">
        <v>1293</v>
      </c>
      <c r="C198" t="s">
        <v>1292</v>
      </c>
      <c r="D198" t="s">
        <v>29</v>
      </c>
      <c r="E198" t="s">
        <v>1295</v>
      </c>
      <c r="F198">
        <v>2022</v>
      </c>
      <c r="G198">
        <v>4</v>
      </c>
      <c r="H198" t="s">
        <v>1294</v>
      </c>
    </row>
    <row r="199" spans="1:8" x14ac:dyDescent="0.3">
      <c r="A199" s="13" t="str">
        <f t="shared" si="3"/>
        <v>Scopus_198</v>
      </c>
      <c r="B199" t="s">
        <v>1395</v>
      </c>
      <c r="C199" t="s">
        <v>1394</v>
      </c>
      <c r="D199" t="s">
        <v>1398</v>
      </c>
      <c r="E199" t="s">
        <v>1397</v>
      </c>
      <c r="F199">
        <v>2022</v>
      </c>
      <c r="G199">
        <v>0</v>
      </c>
      <c r="H199" t="s">
        <v>1396</v>
      </c>
    </row>
    <row r="200" spans="1:8" x14ac:dyDescent="0.3">
      <c r="A200" s="13" t="str">
        <f t="shared" si="3"/>
        <v>Scopus_199</v>
      </c>
      <c r="B200" t="s">
        <v>1296</v>
      </c>
      <c r="C200" t="s">
        <v>29</v>
      </c>
      <c r="D200" t="s">
        <v>29</v>
      </c>
      <c r="E200" t="s">
        <v>1298</v>
      </c>
      <c r="F200">
        <v>2022</v>
      </c>
      <c r="G200">
        <v>0</v>
      </c>
      <c r="H200" t="s">
        <v>1297</v>
      </c>
    </row>
    <row r="201" spans="1:8" x14ac:dyDescent="0.3">
      <c r="A201" s="13" t="str">
        <f t="shared" si="3"/>
        <v>Scopus_200</v>
      </c>
      <c r="B201" t="s">
        <v>1161</v>
      </c>
      <c r="C201" t="s">
        <v>1160</v>
      </c>
      <c r="D201" t="s">
        <v>1164</v>
      </c>
      <c r="E201" t="s">
        <v>1163</v>
      </c>
      <c r="F201">
        <v>2023</v>
      </c>
      <c r="G201">
        <v>2</v>
      </c>
      <c r="H201" t="s">
        <v>1162</v>
      </c>
    </row>
    <row r="202" spans="1:8" x14ac:dyDescent="0.3">
      <c r="A202" s="13" t="str">
        <f t="shared" si="3"/>
        <v>Scopus_201</v>
      </c>
      <c r="B202" t="s">
        <v>1532</v>
      </c>
      <c r="C202" t="s">
        <v>29</v>
      </c>
      <c r="D202" t="s">
        <v>29</v>
      </c>
      <c r="E202" t="s">
        <v>1534</v>
      </c>
      <c r="F202">
        <v>2020</v>
      </c>
      <c r="G202">
        <v>0</v>
      </c>
      <c r="H202" t="s">
        <v>1533</v>
      </c>
    </row>
    <row r="203" spans="1:8" x14ac:dyDescent="0.3">
      <c r="A203" s="13" t="str">
        <f t="shared" si="3"/>
        <v>Scopus_202</v>
      </c>
      <c r="B203" t="s">
        <v>494</v>
      </c>
      <c r="C203" t="s">
        <v>1452</v>
      </c>
      <c r="D203" t="s">
        <v>29</v>
      </c>
      <c r="E203" t="s">
        <v>1454</v>
      </c>
      <c r="F203">
        <v>2021</v>
      </c>
      <c r="G203">
        <v>18</v>
      </c>
      <c r="H203" t="s">
        <v>1453</v>
      </c>
    </row>
    <row r="204" spans="1:8" x14ac:dyDescent="0.3">
      <c r="A204" s="13" t="str">
        <f t="shared" si="3"/>
        <v>Scopus_203</v>
      </c>
      <c r="B204" t="s">
        <v>1532</v>
      </c>
      <c r="C204" t="s">
        <v>29</v>
      </c>
      <c r="D204" t="s">
        <v>29</v>
      </c>
      <c r="E204" t="s">
        <v>1534</v>
      </c>
      <c r="F204">
        <v>2020</v>
      </c>
      <c r="G204">
        <v>0</v>
      </c>
      <c r="H204" t="s">
        <v>1535</v>
      </c>
    </row>
    <row r="205" spans="1:8" x14ac:dyDescent="0.3">
      <c r="A205" s="13" t="str">
        <f t="shared" si="3"/>
        <v>Scopus_204</v>
      </c>
      <c r="B205" t="s">
        <v>442</v>
      </c>
      <c r="C205" t="s">
        <v>1455</v>
      </c>
      <c r="D205" t="s">
        <v>1458</v>
      </c>
      <c r="E205" t="s">
        <v>1457</v>
      </c>
      <c r="F205">
        <v>2021</v>
      </c>
      <c r="G205">
        <v>2</v>
      </c>
      <c r="H205" t="s">
        <v>1456</v>
      </c>
    </row>
    <row r="206" spans="1:8" x14ac:dyDescent="0.3">
      <c r="A206" s="13" t="str">
        <f t="shared" si="3"/>
        <v>Scopus_205</v>
      </c>
      <c r="B206" t="s">
        <v>436</v>
      </c>
      <c r="C206" t="s">
        <v>1536</v>
      </c>
      <c r="D206" t="s">
        <v>1539</v>
      </c>
      <c r="E206" t="s">
        <v>1538</v>
      </c>
      <c r="F206">
        <v>2020</v>
      </c>
      <c r="G206">
        <v>25</v>
      </c>
      <c r="H206" t="s">
        <v>1537</v>
      </c>
    </row>
    <row r="207" spans="1:8" x14ac:dyDescent="0.3">
      <c r="A207" s="13" t="str">
        <f t="shared" si="3"/>
        <v>Scopus_206</v>
      </c>
      <c r="B207" t="s">
        <v>68</v>
      </c>
      <c r="C207" t="s">
        <v>29</v>
      </c>
      <c r="D207" t="s">
        <v>29</v>
      </c>
      <c r="E207" t="s">
        <v>130</v>
      </c>
      <c r="F207">
        <v>2020</v>
      </c>
      <c r="G207">
        <v>0</v>
      </c>
      <c r="H207" t="s">
        <v>102</v>
      </c>
    </row>
    <row r="208" spans="1:8" x14ac:dyDescent="0.3">
      <c r="A208" s="13" t="str">
        <f t="shared" si="3"/>
        <v>Scopus_207</v>
      </c>
      <c r="B208" t="s">
        <v>1532</v>
      </c>
      <c r="C208" t="s">
        <v>29</v>
      </c>
      <c r="D208" t="s">
        <v>29</v>
      </c>
      <c r="E208" t="s">
        <v>1534</v>
      </c>
      <c r="F208">
        <v>2020</v>
      </c>
      <c r="G208">
        <v>0</v>
      </c>
      <c r="H208" t="s">
        <v>1600</v>
      </c>
    </row>
    <row r="209" spans="1:8" x14ac:dyDescent="0.3">
      <c r="A209" s="13" t="str">
        <f t="shared" si="3"/>
        <v>Scopus_208</v>
      </c>
      <c r="B209" t="s">
        <v>1633</v>
      </c>
      <c r="C209" t="s">
        <v>1632</v>
      </c>
      <c r="D209" t="s">
        <v>1636</v>
      </c>
      <c r="E209" t="s">
        <v>1635</v>
      </c>
      <c r="F209">
        <v>2020</v>
      </c>
      <c r="G209">
        <v>8</v>
      </c>
      <c r="H209" t="s">
        <v>1634</v>
      </c>
    </row>
    <row r="210" spans="1:8" x14ac:dyDescent="0.3">
      <c r="A210" s="13" t="str">
        <f t="shared" si="3"/>
        <v>Scopus_209</v>
      </c>
      <c r="B210" t="s">
        <v>532</v>
      </c>
      <c r="C210" t="s">
        <v>1399</v>
      </c>
      <c r="D210" t="s">
        <v>1401</v>
      </c>
      <c r="E210" t="s">
        <v>1909</v>
      </c>
      <c r="F210">
        <v>2021</v>
      </c>
      <c r="G210">
        <v>6</v>
      </c>
      <c r="H210" t="s">
        <v>1400</v>
      </c>
    </row>
    <row r="211" spans="1:8" x14ac:dyDescent="0.3">
      <c r="A211" s="13" t="str">
        <f t="shared" si="3"/>
        <v>Scopus_210</v>
      </c>
      <c r="B211" t="s">
        <v>21</v>
      </c>
      <c r="C211" t="s">
        <v>673</v>
      </c>
      <c r="D211" t="s">
        <v>149</v>
      </c>
      <c r="E211" t="s">
        <v>128</v>
      </c>
      <c r="F211">
        <v>2020</v>
      </c>
      <c r="G211">
        <v>19</v>
      </c>
      <c r="H211" t="s">
        <v>100</v>
      </c>
    </row>
    <row r="212" spans="1:8" x14ac:dyDescent="0.3">
      <c r="A212" s="13" t="str">
        <f t="shared" si="3"/>
        <v>Scopus_211</v>
      </c>
      <c r="B212" t="s">
        <v>1532</v>
      </c>
      <c r="C212" t="s">
        <v>29</v>
      </c>
      <c r="D212" t="s">
        <v>29</v>
      </c>
      <c r="E212" t="s">
        <v>1534</v>
      </c>
      <c r="F212">
        <v>2020</v>
      </c>
      <c r="G212">
        <v>0</v>
      </c>
      <c r="H212" t="s">
        <v>1540</v>
      </c>
    </row>
    <row r="213" spans="1:8" x14ac:dyDescent="0.3">
      <c r="A213" s="13" t="str">
        <f t="shared" si="3"/>
        <v>Scopus_212</v>
      </c>
      <c r="B213" t="s">
        <v>69</v>
      </c>
      <c r="C213" t="s">
        <v>29</v>
      </c>
      <c r="D213" t="s">
        <v>29</v>
      </c>
      <c r="E213" t="s">
        <v>131</v>
      </c>
      <c r="F213">
        <v>2020</v>
      </c>
      <c r="G213">
        <v>0</v>
      </c>
      <c r="H213" t="s">
        <v>103</v>
      </c>
    </row>
    <row r="214" spans="1:8" x14ac:dyDescent="0.3">
      <c r="A214" s="13" t="str">
        <f t="shared" si="3"/>
        <v>Scopus_213</v>
      </c>
      <c r="B214" t="s">
        <v>1532</v>
      </c>
      <c r="C214" t="s">
        <v>29</v>
      </c>
      <c r="D214" t="s">
        <v>29</v>
      </c>
      <c r="E214" t="s">
        <v>1534</v>
      </c>
      <c r="F214">
        <v>2020</v>
      </c>
      <c r="G214">
        <v>0</v>
      </c>
      <c r="H214" t="s">
        <v>1541</v>
      </c>
    </row>
    <row r="215" spans="1:8" x14ac:dyDescent="0.3">
      <c r="A215" s="13" t="str">
        <f t="shared" si="3"/>
        <v>Scopus_214</v>
      </c>
      <c r="B215" t="s">
        <v>1543</v>
      </c>
      <c r="C215" t="s">
        <v>1542</v>
      </c>
      <c r="D215" t="s">
        <v>1546</v>
      </c>
      <c r="E215" t="s">
        <v>1545</v>
      </c>
      <c r="F215">
        <v>2020</v>
      </c>
      <c r="G215">
        <v>79</v>
      </c>
      <c r="H215" t="s">
        <v>1544</v>
      </c>
    </row>
    <row r="216" spans="1:8" x14ac:dyDescent="0.3">
      <c r="A216" s="13" t="str">
        <f t="shared" si="3"/>
        <v>Scopus_215</v>
      </c>
      <c r="B216" t="s">
        <v>1532</v>
      </c>
      <c r="C216" t="s">
        <v>29</v>
      </c>
      <c r="D216" t="s">
        <v>29</v>
      </c>
      <c r="E216" t="s">
        <v>1534</v>
      </c>
      <c r="F216">
        <v>2020</v>
      </c>
      <c r="G216">
        <v>0</v>
      </c>
      <c r="H216" t="s">
        <v>1547</v>
      </c>
    </row>
    <row r="217" spans="1:8" x14ac:dyDescent="0.3">
      <c r="A217" s="13" t="str">
        <f t="shared" si="3"/>
        <v>Scopus_216</v>
      </c>
      <c r="B217" t="s">
        <v>1532</v>
      </c>
      <c r="C217" t="s">
        <v>29</v>
      </c>
      <c r="D217" t="s">
        <v>29</v>
      </c>
      <c r="E217" t="s">
        <v>1534</v>
      </c>
      <c r="F217">
        <v>2020</v>
      </c>
      <c r="G217">
        <v>0</v>
      </c>
      <c r="H217" t="s">
        <v>1548</v>
      </c>
    </row>
    <row r="218" spans="1:8" x14ac:dyDescent="0.3">
      <c r="A218" s="13" t="str">
        <f t="shared" si="3"/>
        <v>Scopus_217</v>
      </c>
      <c r="B218" t="s">
        <v>1602</v>
      </c>
      <c r="C218" t="s">
        <v>1601</v>
      </c>
      <c r="D218" t="s">
        <v>1604</v>
      </c>
      <c r="E218" t="s">
        <v>1910</v>
      </c>
      <c r="F218">
        <v>2020</v>
      </c>
      <c r="G218">
        <v>18</v>
      </c>
      <c r="H218" t="s">
        <v>1603</v>
      </c>
    </row>
    <row r="219" spans="1:8" x14ac:dyDescent="0.3">
      <c r="A219" s="13" t="str">
        <f t="shared" si="3"/>
        <v>Scopus_218</v>
      </c>
      <c r="B219" t="s">
        <v>1532</v>
      </c>
      <c r="C219" t="s">
        <v>29</v>
      </c>
      <c r="D219" t="s">
        <v>29</v>
      </c>
      <c r="E219" t="s">
        <v>1534</v>
      </c>
      <c r="F219">
        <v>2020</v>
      </c>
      <c r="G219">
        <v>0</v>
      </c>
      <c r="H219" t="s">
        <v>1549</v>
      </c>
    </row>
    <row r="220" spans="1:8" x14ac:dyDescent="0.3">
      <c r="A220" s="13" t="str">
        <f t="shared" si="3"/>
        <v>Scopus_219</v>
      </c>
      <c r="B220" t="s">
        <v>1532</v>
      </c>
      <c r="C220" t="s">
        <v>29</v>
      </c>
      <c r="D220" t="s">
        <v>29</v>
      </c>
      <c r="E220" t="s">
        <v>1534</v>
      </c>
      <c r="F220">
        <v>2020</v>
      </c>
      <c r="G220">
        <v>0</v>
      </c>
      <c r="H220" t="s">
        <v>1550</v>
      </c>
    </row>
    <row r="221" spans="1:8" x14ac:dyDescent="0.3">
      <c r="A221" s="13" t="str">
        <f t="shared" si="3"/>
        <v>Scopus_220</v>
      </c>
      <c r="B221" t="s">
        <v>1652</v>
      </c>
      <c r="C221" t="s">
        <v>29</v>
      </c>
      <c r="D221" t="s">
        <v>29</v>
      </c>
      <c r="E221" t="s">
        <v>1654</v>
      </c>
      <c r="F221">
        <v>2020</v>
      </c>
      <c r="G221">
        <v>0</v>
      </c>
      <c r="H221" t="s">
        <v>1653</v>
      </c>
    </row>
    <row r="222" spans="1:8" x14ac:dyDescent="0.3">
      <c r="A222" s="13" t="str">
        <f t="shared" si="3"/>
        <v>Scopus_221</v>
      </c>
      <c r="B222" t="s">
        <v>1532</v>
      </c>
      <c r="C222" t="s">
        <v>29</v>
      </c>
      <c r="D222" t="s">
        <v>29</v>
      </c>
      <c r="E222" t="s">
        <v>1534</v>
      </c>
      <c r="F222">
        <v>2020</v>
      </c>
      <c r="G222">
        <v>0</v>
      </c>
      <c r="H222" t="s">
        <v>1551</v>
      </c>
    </row>
    <row r="223" spans="1:8" x14ac:dyDescent="0.3">
      <c r="A223" s="13" t="str">
        <f t="shared" si="3"/>
        <v>Scopus_222</v>
      </c>
      <c r="B223" t="s">
        <v>1403</v>
      </c>
      <c r="C223" t="s">
        <v>1402</v>
      </c>
      <c r="D223" t="s">
        <v>1406</v>
      </c>
      <c r="E223" t="s">
        <v>1405</v>
      </c>
      <c r="F223">
        <v>2020</v>
      </c>
      <c r="G223">
        <v>3</v>
      </c>
      <c r="H223" t="s">
        <v>1404</v>
      </c>
    </row>
    <row r="224" spans="1:8" x14ac:dyDescent="0.3">
      <c r="A224" s="13" t="str">
        <f t="shared" si="3"/>
        <v>Scopus_223</v>
      </c>
      <c r="B224" t="s">
        <v>1408</v>
      </c>
      <c r="C224" t="s">
        <v>1407</v>
      </c>
      <c r="D224" t="s">
        <v>1411</v>
      </c>
      <c r="E224" t="s">
        <v>1410</v>
      </c>
      <c r="F224">
        <v>2020</v>
      </c>
      <c r="G224">
        <v>10</v>
      </c>
      <c r="H224" t="s">
        <v>1409</v>
      </c>
    </row>
    <row r="225" spans="1:8" x14ac:dyDescent="0.3">
      <c r="A225" s="13" t="str">
        <f t="shared" si="3"/>
        <v>Scopus_224</v>
      </c>
      <c r="B225" t="s">
        <v>1532</v>
      </c>
      <c r="C225" t="s">
        <v>29</v>
      </c>
      <c r="D225" t="s">
        <v>29</v>
      </c>
      <c r="E225" t="s">
        <v>1534</v>
      </c>
      <c r="F225">
        <v>2020</v>
      </c>
      <c r="G225">
        <v>0</v>
      </c>
      <c r="H225" t="s">
        <v>1605</v>
      </c>
    </row>
    <row r="226" spans="1:8" x14ac:dyDescent="0.3">
      <c r="A226" s="13" t="str">
        <f t="shared" si="3"/>
        <v>Scopus_225</v>
      </c>
      <c r="B226" t="s">
        <v>504</v>
      </c>
      <c r="C226" t="s">
        <v>1552</v>
      </c>
      <c r="D226" t="s">
        <v>1555</v>
      </c>
      <c r="E226" t="s">
        <v>1554</v>
      </c>
      <c r="F226">
        <v>2020</v>
      </c>
      <c r="G226">
        <v>37</v>
      </c>
      <c r="H226" t="s">
        <v>1553</v>
      </c>
    </row>
    <row r="227" spans="1:8" x14ac:dyDescent="0.3">
      <c r="A227" s="13" t="str">
        <f t="shared" si="3"/>
        <v>Scopus_226</v>
      </c>
      <c r="B227" t="s">
        <v>1532</v>
      </c>
      <c r="C227" t="s">
        <v>29</v>
      </c>
      <c r="D227" t="s">
        <v>29</v>
      </c>
      <c r="E227" t="s">
        <v>1534</v>
      </c>
      <c r="F227">
        <v>2020</v>
      </c>
      <c r="G227">
        <v>0</v>
      </c>
      <c r="H227" t="s">
        <v>1606</v>
      </c>
    </row>
    <row r="228" spans="1:8" x14ac:dyDescent="0.3">
      <c r="A228" s="13" t="str">
        <f t="shared" si="3"/>
        <v>Scopus_227</v>
      </c>
      <c r="B228" t="s">
        <v>1532</v>
      </c>
      <c r="C228" t="s">
        <v>29</v>
      </c>
      <c r="D228" t="s">
        <v>29</v>
      </c>
      <c r="E228" t="s">
        <v>1534</v>
      </c>
      <c r="F228">
        <v>2020</v>
      </c>
      <c r="G228">
        <v>0</v>
      </c>
      <c r="H228" t="s">
        <v>1607</v>
      </c>
    </row>
    <row r="229" spans="1:8" x14ac:dyDescent="0.3">
      <c r="A229" s="13" t="str">
        <f t="shared" si="3"/>
        <v>Scopus_228</v>
      </c>
      <c r="B229" t="s">
        <v>1412</v>
      </c>
      <c r="C229" t="s">
        <v>1347</v>
      </c>
      <c r="D229" t="s">
        <v>1415</v>
      </c>
      <c r="E229" t="s">
        <v>1414</v>
      </c>
      <c r="F229">
        <v>2021</v>
      </c>
      <c r="G229">
        <v>1</v>
      </c>
      <c r="H229" t="s">
        <v>1413</v>
      </c>
    </row>
    <row r="230" spans="1:8" x14ac:dyDescent="0.3">
      <c r="A230" s="13" t="str">
        <f t="shared" si="3"/>
        <v>Scopus_229</v>
      </c>
      <c r="B230" t="s">
        <v>1460</v>
      </c>
      <c r="C230" t="s">
        <v>1459</v>
      </c>
      <c r="D230" t="s">
        <v>1463</v>
      </c>
      <c r="E230" t="s">
        <v>1462</v>
      </c>
      <c r="F230">
        <v>2021</v>
      </c>
      <c r="G230">
        <v>1</v>
      </c>
      <c r="H230" t="s">
        <v>1461</v>
      </c>
    </row>
    <row r="231" spans="1:8" x14ac:dyDescent="0.3">
      <c r="A231" s="13" t="str">
        <f t="shared" si="3"/>
        <v>Scopus_230</v>
      </c>
      <c r="B231" t="s">
        <v>1656</v>
      </c>
      <c r="C231" t="s">
        <v>1655</v>
      </c>
      <c r="D231" t="s">
        <v>29</v>
      </c>
      <c r="E231" t="s">
        <v>1658</v>
      </c>
      <c r="F231">
        <v>2020</v>
      </c>
      <c r="G231">
        <v>28</v>
      </c>
      <c r="H231" t="s">
        <v>1657</v>
      </c>
    </row>
    <row r="232" spans="1:8" x14ac:dyDescent="0.3">
      <c r="A232" s="13" t="str">
        <f t="shared" si="3"/>
        <v>Scopus_231</v>
      </c>
      <c r="B232" t="s">
        <v>471</v>
      </c>
      <c r="C232" t="s">
        <v>1556</v>
      </c>
      <c r="D232" t="s">
        <v>1559</v>
      </c>
      <c r="E232" t="s">
        <v>1558</v>
      </c>
      <c r="F232">
        <v>2020</v>
      </c>
      <c r="G232">
        <v>26</v>
      </c>
      <c r="H232" t="s">
        <v>1557</v>
      </c>
    </row>
    <row r="233" spans="1:8" x14ac:dyDescent="0.3">
      <c r="A233" s="13" t="str">
        <f t="shared" si="3"/>
        <v>Scopus_232</v>
      </c>
      <c r="B233" t="s">
        <v>1532</v>
      </c>
      <c r="C233" t="s">
        <v>29</v>
      </c>
      <c r="D233" t="s">
        <v>29</v>
      </c>
      <c r="E233" t="s">
        <v>1534</v>
      </c>
      <c r="F233">
        <v>2020</v>
      </c>
      <c r="G233">
        <v>0</v>
      </c>
      <c r="H233" t="s">
        <v>1608</v>
      </c>
    </row>
    <row r="234" spans="1:8" x14ac:dyDescent="0.3">
      <c r="A234" s="13" t="str">
        <f t="shared" si="3"/>
        <v>Scopus_233</v>
      </c>
      <c r="B234" t="s">
        <v>1465</v>
      </c>
      <c r="C234" t="s">
        <v>1464</v>
      </c>
      <c r="D234" t="s">
        <v>1468</v>
      </c>
      <c r="E234" t="s">
        <v>1467</v>
      </c>
      <c r="F234">
        <v>2020</v>
      </c>
      <c r="G234">
        <v>3</v>
      </c>
      <c r="H234" t="s">
        <v>1466</v>
      </c>
    </row>
    <row r="235" spans="1:8" x14ac:dyDescent="0.3">
      <c r="A235" s="13" t="str">
        <f t="shared" si="3"/>
        <v>Scopus_234</v>
      </c>
      <c r="B235" t="s">
        <v>468</v>
      </c>
      <c r="C235" t="s">
        <v>1416</v>
      </c>
      <c r="D235" t="s">
        <v>1418</v>
      </c>
      <c r="E235" t="s">
        <v>1911</v>
      </c>
      <c r="F235">
        <v>2020</v>
      </c>
      <c r="G235">
        <v>5</v>
      </c>
      <c r="H235" t="s">
        <v>1417</v>
      </c>
    </row>
    <row r="236" spans="1:8" x14ac:dyDescent="0.3">
      <c r="A236" s="13" t="str">
        <f t="shared" si="3"/>
        <v>Scopus_235</v>
      </c>
      <c r="B236" t="s">
        <v>1532</v>
      </c>
      <c r="C236" t="s">
        <v>29</v>
      </c>
      <c r="D236" t="s">
        <v>29</v>
      </c>
      <c r="E236" t="s">
        <v>1534</v>
      </c>
      <c r="F236">
        <v>2020</v>
      </c>
      <c r="G236">
        <v>0</v>
      </c>
      <c r="H236" t="s">
        <v>1659</v>
      </c>
    </row>
    <row r="237" spans="1:8" x14ac:dyDescent="0.3">
      <c r="A237" s="13" t="str">
        <f t="shared" si="3"/>
        <v>Scopus_236</v>
      </c>
      <c r="B237" t="s">
        <v>1640</v>
      </c>
      <c r="C237" t="s">
        <v>29</v>
      </c>
      <c r="D237" t="s">
        <v>29</v>
      </c>
      <c r="E237" t="s">
        <v>1642</v>
      </c>
      <c r="F237">
        <v>2020</v>
      </c>
      <c r="G237">
        <v>0</v>
      </c>
      <c r="H237" t="s">
        <v>1661</v>
      </c>
    </row>
    <row r="238" spans="1:8" x14ac:dyDescent="0.3">
      <c r="A238" s="13" t="str">
        <f t="shared" si="3"/>
        <v>Scopus_237</v>
      </c>
      <c r="B238" t="s">
        <v>467</v>
      </c>
      <c r="C238" t="s">
        <v>1469</v>
      </c>
      <c r="D238" t="s">
        <v>1472</v>
      </c>
      <c r="E238" t="s">
        <v>1471</v>
      </c>
      <c r="F238">
        <v>2020</v>
      </c>
      <c r="G238">
        <v>4</v>
      </c>
      <c r="H238" t="s">
        <v>1470</v>
      </c>
    </row>
    <row r="239" spans="1:8" x14ac:dyDescent="0.3">
      <c r="A239" s="13" t="str">
        <f t="shared" si="3"/>
        <v>Scopus_238</v>
      </c>
      <c r="B239" t="s">
        <v>1532</v>
      </c>
      <c r="C239" t="s">
        <v>29</v>
      </c>
      <c r="D239" t="s">
        <v>29</v>
      </c>
      <c r="E239" t="s">
        <v>1534</v>
      </c>
      <c r="F239">
        <v>2020</v>
      </c>
      <c r="G239">
        <v>0</v>
      </c>
      <c r="H239" t="s">
        <v>1560</v>
      </c>
    </row>
    <row r="240" spans="1:8" x14ac:dyDescent="0.3">
      <c r="A240" s="13" t="str">
        <f t="shared" si="3"/>
        <v>Scopus_239</v>
      </c>
      <c r="B240" t="s">
        <v>1532</v>
      </c>
      <c r="C240" t="s">
        <v>29</v>
      </c>
      <c r="D240" t="s">
        <v>29</v>
      </c>
      <c r="E240" t="s">
        <v>1534</v>
      </c>
      <c r="F240">
        <v>2020</v>
      </c>
      <c r="G240">
        <v>0</v>
      </c>
      <c r="H240" t="s">
        <v>1561</v>
      </c>
    </row>
    <row r="241" spans="1:8" x14ac:dyDescent="0.3">
      <c r="A241" s="13" t="str">
        <f t="shared" si="3"/>
        <v>Scopus_240</v>
      </c>
      <c r="B241" t="s">
        <v>1532</v>
      </c>
      <c r="C241" t="s">
        <v>29</v>
      </c>
      <c r="D241" t="s">
        <v>29</v>
      </c>
      <c r="E241" t="s">
        <v>1534</v>
      </c>
      <c r="F241">
        <v>2020</v>
      </c>
      <c r="G241">
        <v>0</v>
      </c>
      <c r="H241" t="s">
        <v>1562</v>
      </c>
    </row>
    <row r="242" spans="1:8" x14ac:dyDescent="0.3">
      <c r="A242" s="13" t="str">
        <f t="shared" si="3"/>
        <v>Scopus_241</v>
      </c>
      <c r="B242" t="s">
        <v>1532</v>
      </c>
      <c r="C242" t="s">
        <v>29</v>
      </c>
      <c r="D242" t="s">
        <v>29</v>
      </c>
      <c r="E242" t="s">
        <v>1534</v>
      </c>
      <c r="F242">
        <v>2020</v>
      </c>
      <c r="G242">
        <v>0</v>
      </c>
      <c r="H242" t="s">
        <v>1662</v>
      </c>
    </row>
    <row r="243" spans="1:8" x14ac:dyDescent="0.3">
      <c r="A243" s="13" t="str">
        <f t="shared" si="3"/>
        <v>Scopus_242</v>
      </c>
      <c r="B243" t="s">
        <v>1532</v>
      </c>
      <c r="C243" t="s">
        <v>29</v>
      </c>
      <c r="D243" t="s">
        <v>29</v>
      </c>
      <c r="E243" t="s">
        <v>1534</v>
      </c>
      <c r="F243">
        <v>2020</v>
      </c>
      <c r="G243">
        <v>0</v>
      </c>
      <c r="H243" t="s">
        <v>1609</v>
      </c>
    </row>
    <row r="244" spans="1:8" x14ac:dyDescent="0.3">
      <c r="A244" s="13" t="str">
        <f t="shared" si="3"/>
        <v>Scopus_243</v>
      </c>
      <c r="B244" t="s">
        <v>1420</v>
      </c>
      <c r="C244" t="s">
        <v>1419</v>
      </c>
      <c r="D244" t="s">
        <v>29</v>
      </c>
      <c r="E244" t="s">
        <v>1422</v>
      </c>
      <c r="F244">
        <v>2021</v>
      </c>
      <c r="G244">
        <v>8</v>
      </c>
      <c r="H244" t="s">
        <v>1421</v>
      </c>
    </row>
    <row r="245" spans="1:8" x14ac:dyDescent="0.3">
      <c r="A245" s="13" t="str">
        <f t="shared" si="3"/>
        <v>Scopus_244</v>
      </c>
      <c r="B245" t="s">
        <v>1532</v>
      </c>
      <c r="C245" t="s">
        <v>29</v>
      </c>
      <c r="D245" t="s">
        <v>29</v>
      </c>
      <c r="E245" t="s">
        <v>1534</v>
      </c>
      <c r="F245">
        <v>2020</v>
      </c>
      <c r="G245">
        <v>0</v>
      </c>
      <c r="H245" t="s">
        <v>1610</v>
      </c>
    </row>
    <row r="246" spans="1:8" x14ac:dyDescent="0.3">
      <c r="A246" s="13" t="str">
        <f t="shared" si="3"/>
        <v>Scopus_245</v>
      </c>
      <c r="B246" t="s">
        <v>484</v>
      </c>
      <c r="C246" t="s">
        <v>1006</v>
      </c>
      <c r="D246" t="s">
        <v>1475</v>
      </c>
      <c r="E246" t="s">
        <v>1474</v>
      </c>
      <c r="F246">
        <v>2021</v>
      </c>
      <c r="G246">
        <v>1</v>
      </c>
      <c r="H246" t="s">
        <v>1473</v>
      </c>
    </row>
    <row r="247" spans="1:8" x14ac:dyDescent="0.3">
      <c r="A247" s="13" t="str">
        <f t="shared" si="3"/>
        <v>Scopus_246</v>
      </c>
      <c r="B247" t="s">
        <v>486</v>
      </c>
      <c r="C247" t="s">
        <v>1476</v>
      </c>
      <c r="D247" t="s">
        <v>1479</v>
      </c>
      <c r="E247" t="s">
        <v>1478</v>
      </c>
      <c r="F247">
        <v>2021</v>
      </c>
      <c r="G247">
        <v>2</v>
      </c>
      <c r="H247" t="s">
        <v>1477</v>
      </c>
    </row>
    <row r="248" spans="1:8" x14ac:dyDescent="0.3">
      <c r="A248" s="13" t="str">
        <f t="shared" si="3"/>
        <v>Scopus_247</v>
      </c>
      <c r="B248" t="s">
        <v>1532</v>
      </c>
      <c r="C248" t="s">
        <v>29</v>
      </c>
      <c r="D248" t="s">
        <v>29</v>
      </c>
      <c r="E248" t="s">
        <v>1534</v>
      </c>
      <c r="F248">
        <v>2020</v>
      </c>
      <c r="G248">
        <v>0</v>
      </c>
      <c r="H248" t="s">
        <v>1668</v>
      </c>
    </row>
    <row r="249" spans="1:8" x14ac:dyDescent="0.3">
      <c r="A249" s="13" t="str">
        <f t="shared" si="3"/>
        <v>Scopus_248</v>
      </c>
      <c r="B249" t="s">
        <v>1564</v>
      </c>
      <c r="C249" t="s">
        <v>1563</v>
      </c>
      <c r="D249" t="s">
        <v>1567</v>
      </c>
      <c r="E249" t="s">
        <v>1566</v>
      </c>
      <c r="F249">
        <v>2020</v>
      </c>
      <c r="G249">
        <v>27</v>
      </c>
      <c r="H249" t="s">
        <v>1565</v>
      </c>
    </row>
    <row r="250" spans="1:8" x14ac:dyDescent="0.3">
      <c r="A250" s="13" t="str">
        <f t="shared" si="3"/>
        <v>Scopus_249</v>
      </c>
      <c r="B250" t="s">
        <v>69</v>
      </c>
      <c r="C250" t="s">
        <v>29</v>
      </c>
      <c r="D250" t="s">
        <v>29</v>
      </c>
      <c r="E250" t="s">
        <v>131</v>
      </c>
      <c r="F250">
        <v>2020</v>
      </c>
      <c r="G250">
        <v>0</v>
      </c>
      <c r="H250" t="s">
        <v>104</v>
      </c>
    </row>
    <row r="251" spans="1:8" x14ac:dyDescent="0.3">
      <c r="A251" s="13" t="str">
        <f t="shared" si="3"/>
        <v>Scopus_250</v>
      </c>
      <c r="B251" t="s">
        <v>503</v>
      </c>
      <c r="C251" t="s">
        <v>1611</v>
      </c>
      <c r="D251" t="s">
        <v>1614</v>
      </c>
      <c r="E251" t="s">
        <v>1613</v>
      </c>
      <c r="F251">
        <v>2020</v>
      </c>
      <c r="G251">
        <v>25</v>
      </c>
      <c r="H251" t="s">
        <v>1612</v>
      </c>
    </row>
    <row r="252" spans="1:8" x14ac:dyDescent="0.3">
      <c r="A252" s="13" t="str">
        <f t="shared" si="3"/>
        <v>Scopus_251</v>
      </c>
      <c r="B252" t="s">
        <v>446</v>
      </c>
      <c r="C252" t="s">
        <v>1480</v>
      </c>
      <c r="D252" t="s">
        <v>1483</v>
      </c>
      <c r="E252" t="s">
        <v>1482</v>
      </c>
      <c r="F252">
        <v>2021</v>
      </c>
      <c r="G252">
        <v>2</v>
      </c>
      <c r="H252" t="s">
        <v>1481</v>
      </c>
    </row>
    <row r="253" spans="1:8" x14ac:dyDescent="0.3">
      <c r="A253" s="13" t="str">
        <f t="shared" si="3"/>
        <v>Scopus_252</v>
      </c>
      <c r="B253" t="s">
        <v>431</v>
      </c>
      <c r="C253" t="s">
        <v>1637</v>
      </c>
      <c r="D253" t="s">
        <v>535</v>
      </c>
      <c r="E253" t="s">
        <v>1639</v>
      </c>
      <c r="F253">
        <v>2020</v>
      </c>
      <c r="G253">
        <v>2</v>
      </c>
      <c r="H253" t="s">
        <v>1638</v>
      </c>
    </row>
    <row r="254" spans="1:8" x14ac:dyDescent="0.3">
      <c r="A254" s="13" t="str">
        <f t="shared" si="3"/>
        <v>Scopus_253</v>
      </c>
      <c r="B254" t="s">
        <v>1485</v>
      </c>
      <c r="C254" t="s">
        <v>1484</v>
      </c>
      <c r="D254" t="s">
        <v>29</v>
      </c>
      <c r="E254" t="s">
        <v>1487</v>
      </c>
      <c r="F254">
        <v>2021</v>
      </c>
      <c r="G254">
        <v>1</v>
      </c>
      <c r="H254" t="s">
        <v>1486</v>
      </c>
    </row>
    <row r="255" spans="1:8" x14ac:dyDescent="0.3">
      <c r="A255" s="13" t="str">
        <f t="shared" si="3"/>
        <v>Scopus_254</v>
      </c>
      <c r="B255" t="s">
        <v>516</v>
      </c>
      <c r="C255" t="s">
        <v>1488</v>
      </c>
      <c r="D255" t="s">
        <v>541</v>
      </c>
      <c r="E255" t="s">
        <v>1490</v>
      </c>
      <c r="F255">
        <v>2020</v>
      </c>
      <c r="G255">
        <v>2</v>
      </c>
      <c r="H255" t="s">
        <v>1489</v>
      </c>
    </row>
    <row r="256" spans="1:8" x14ac:dyDescent="0.3">
      <c r="A256" s="13" t="str">
        <f t="shared" si="3"/>
        <v>Scopus_255</v>
      </c>
      <c r="B256" t="s">
        <v>518</v>
      </c>
      <c r="C256" t="s">
        <v>1568</v>
      </c>
      <c r="D256" t="s">
        <v>1571</v>
      </c>
      <c r="E256" t="s">
        <v>1570</v>
      </c>
      <c r="F256">
        <v>2020</v>
      </c>
      <c r="G256">
        <v>36</v>
      </c>
      <c r="H256" t="s">
        <v>1569</v>
      </c>
    </row>
    <row r="257" spans="1:8" x14ac:dyDescent="0.3">
      <c r="A257" s="13" t="str">
        <f t="shared" si="3"/>
        <v>Scopus_256</v>
      </c>
      <c r="B257" t="s">
        <v>449</v>
      </c>
      <c r="C257" t="s">
        <v>1423</v>
      </c>
      <c r="D257" t="s">
        <v>29</v>
      </c>
      <c r="E257" t="s">
        <v>1425</v>
      </c>
      <c r="F257">
        <v>2021</v>
      </c>
      <c r="G257">
        <v>30</v>
      </c>
      <c r="H257" t="s">
        <v>1424</v>
      </c>
    </row>
    <row r="258" spans="1:8" x14ac:dyDescent="0.3">
      <c r="A258" s="13" t="str">
        <f t="shared" ref="A258:A295" si="4">"Scopus_" &amp; ROW()-1</f>
        <v>Scopus_257</v>
      </c>
      <c r="B258" t="s">
        <v>1492</v>
      </c>
      <c r="C258" t="s">
        <v>1491</v>
      </c>
      <c r="D258" t="s">
        <v>1495</v>
      </c>
      <c r="E258" t="s">
        <v>1494</v>
      </c>
      <c r="F258">
        <v>2021</v>
      </c>
      <c r="G258">
        <v>0</v>
      </c>
      <c r="H258" t="s">
        <v>1493</v>
      </c>
    </row>
    <row r="259" spans="1:8" x14ac:dyDescent="0.3">
      <c r="A259" s="13" t="str">
        <f t="shared" si="4"/>
        <v>Scopus_258</v>
      </c>
      <c r="B259" t="s">
        <v>1497</v>
      </c>
      <c r="C259" t="s">
        <v>1496</v>
      </c>
      <c r="D259" t="s">
        <v>1500</v>
      </c>
      <c r="E259" t="s">
        <v>1499</v>
      </c>
      <c r="F259">
        <v>2020</v>
      </c>
      <c r="G259">
        <v>2</v>
      </c>
      <c r="H259" t="s">
        <v>1498</v>
      </c>
    </row>
    <row r="260" spans="1:8" x14ac:dyDescent="0.3">
      <c r="A260" s="13" t="str">
        <f t="shared" si="4"/>
        <v>Scopus_259</v>
      </c>
      <c r="B260" t="s">
        <v>1616</v>
      </c>
      <c r="C260" t="s">
        <v>1615</v>
      </c>
      <c r="D260" t="s">
        <v>1619</v>
      </c>
      <c r="E260" t="s">
        <v>1618</v>
      </c>
      <c r="F260">
        <v>2020</v>
      </c>
      <c r="G260">
        <v>5</v>
      </c>
      <c r="H260" t="s">
        <v>1617</v>
      </c>
    </row>
    <row r="261" spans="1:8" x14ac:dyDescent="0.3">
      <c r="A261" s="13" t="str">
        <f t="shared" si="4"/>
        <v>Scopus_260</v>
      </c>
      <c r="B261" t="s">
        <v>1502</v>
      </c>
      <c r="C261" t="s">
        <v>1501</v>
      </c>
      <c r="D261" t="s">
        <v>1505</v>
      </c>
      <c r="E261" t="s">
        <v>1504</v>
      </c>
      <c r="F261">
        <v>2020</v>
      </c>
      <c r="G261">
        <v>6</v>
      </c>
      <c r="H261" t="s">
        <v>1503</v>
      </c>
    </row>
    <row r="262" spans="1:8" x14ac:dyDescent="0.3">
      <c r="A262" s="13" t="str">
        <f t="shared" si="4"/>
        <v>Scopus_261</v>
      </c>
      <c r="B262" t="s">
        <v>1573</v>
      </c>
      <c r="C262" t="s">
        <v>1572</v>
      </c>
      <c r="D262" t="s">
        <v>1575</v>
      </c>
      <c r="E262" t="s">
        <v>1912</v>
      </c>
      <c r="F262">
        <v>2020</v>
      </c>
      <c r="G262">
        <v>6</v>
      </c>
      <c r="H262" t="s">
        <v>1574</v>
      </c>
    </row>
    <row r="263" spans="1:8" x14ac:dyDescent="0.3">
      <c r="A263" s="13" t="str">
        <f t="shared" si="4"/>
        <v>Scopus_262</v>
      </c>
      <c r="B263" t="s">
        <v>66</v>
      </c>
      <c r="C263" t="s">
        <v>29</v>
      </c>
      <c r="D263" t="s">
        <v>29</v>
      </c>
      <c r="E263" t="s">
        <v>1899</v>
      </c>
      <c r="F263">
        <v>2021</v>
      </c>
      <c r="G263">
        <v>0</v>
      </c>
      <c r="H263" t="s">
        <v>99</v>
      </c>
    </row>
    <row r="264" spans="1:8" x14ac:dyDescent="0.3">
      <c r="A264" s="13" t="str">
        <f t="shared" si="4"/>
        <v>Scopus_263</v>
      </c>
      <c r="B264" t="s">
        <v>1577</v>
      </c>
      <c r="C264" t="s">
        <v>1576</v>
      </c>
      <c r="D264" t="s">
        <v>29</v>
      </c>
      <c r="E264" t="s">
        <v>1579</v>
      </c>
      <c r="F264">
        <v>2020</v>
      </c>
      <c r="G264">
        <v>13</v>
      </c>
      <c r="H264" t="s">
        <v>1578</v>
      </c>
    </row>
    <row r="265" spans="1:8" x14ac:dyDescent="0.3">
      <c r="A265" s="13" t="str">
        <f t="shared" si="4"/>
        <v>Scopus_264</v>
      </c>
      <c r="B265" t="s">
        <v>526</v>
      </c>
      <c r="C265" t="s">
        <v>1426</v>
      </c>
      <c r="D265" t="s">
        <v>1429</v>
      </c>
      <c r="E265" t="s">
        <v>1428</v>
      </c>
      <c r="F265">
        <v>2020</v>
      </c>
      <c r="G265">
        <v>3</v>
      </c>
      <c r="H265" t="s">
        <v>1427</v>
      </c>
    </row>
    <row r="266" spans="1:8" x14ac:dyDescent="0.3">
      <c r="A266" s="13" t="str">
        <f t="shared" si="4"/>
        <v>Scopus_265</v>
      </c>
      <c r="B266" t="s">
        <v>67</v>
      </c>
      <c r="C266" t="s">
        <v>674</v>
      </c>
      <c r="D266" t="s">
        <v>150</v>
      </c>
      <c r="E266" t="s">
        <v>129</v>
      </c>
      <c r="F266">
        <v>2021</v>
      </c>
      <c r="G266">
        <v>13</v>
      </c>
      <c r="H266" t="s">
        <v>101</v>
      </c>
    </row>
    <row r="267" spans="1:8" x14ac:dyDescent="0.3">
      <c r="A267" s="13" t="str">
        <f t="shared" si="4"/>
        <v>Scopus_266</v>
      </c>
      <c r="B267" t="s">
        <v>1640</v>
      </c>
      <c r="C267" t="s">
        <v>29</v>
      </c>
      <c r="D267" t="s">
        <v>29</v>
      </c>
      <c r="E267" t="s">
        <v>1642</v>
      </c>
      <c r="F267">
        <v>2020</v>
      </c>
      <c r="G267">
        <v>0</v>
      </c>
      <c r="H267" t="s">
        <v>1641</v>
      </c>
    </row>
    <row r="268" spans="1:8" x14ac:dyDescent="0.3">
      <c r="A268" s="13" t="str">
        <f t="shared" si="4"/>
        <v>Scopus_267</v>
      </c>
      <c r="B268" t="s">
        <v>500</v>
      </c>
      <c r="C268" t="s">
        <v>1580</v>
      </c>
      <c r="D268" t="s">
        <v>1583</v>
      </c>
      <c r="E268" t="s">
        <v>1582</v>
      </c>
      <c r="F268">
        <v>2020</v>
      </c>
      <c r="G268">
        <v>17</v>
      </c>
      <c r="H268" t="s">
        <v>1581</v>
      </c>
    </row>
    <row r="269" spans="1:8" x14ac:dyDescent="0.3">
      <c r="A269" s="13" t="str">
        <f t="shared" si="4"/>
        <v>Scopus_268</v>
      </c>
      <c r="B269" t="s">
        <v>464</v>
      </c>
      <c r="C269" t="s">
        <v>1430</v>
      </c>
      <c r="D269" t="s">
        <v>1433</v>
      </c>
      <c r="E269" t="s">
        <v>1432</v>
      </c>
      <c r="F269">
        <v>2021</v>
      </c>
      <c r="G269">
        <v>1</v>
      </c>
      <c r="H269" t="s">
        <v>1431</v>
      </c>
    </row>
    <row r="270" spans="1:8" x14ac:dyDescent="0.3">
      <c r="A270" s="13" t="str">
        <f t="shared" si="4"/>
        <v>Scopus_269</v>
      </c>
      <c r="B270" t="s">
        <v>1644</v>
      </c>
      <c r="C270" t="s">
        <v>1643</v>
      </c>
      <c r="D270" t="s">
        <v>29</v>
      </c>
      <c r="E270" t="s">
        <v>1646</v>
      </c>
      <c r="F270">
        <v>2020</v>
      </c>
      <c r="G270">
        <v>0</v>
      </c>
      <c r="H270" t="s">
        <v>1645</v>
      </c>
    </row>
    <row r="271" spans="1:8" x14ac:dyDescent="0.3">
      <c r="A271" s="13" t="str">
        <f t="shared" si="4"/>
        <v>Scopus_270</v>
      </c>
      <c r="B271" t="s">
        <v>1532</v>
      </c>
      <c r="C271" t="s">
        <v>29</v>
      </c>
      <c r="D271" t="s">
        <v>29</v>
      </c>
      <c r="E271" t="s">
        <v>1534</v>
      </c>
      <c r="F271">
        <v>2020</v>
      </c>
      <c r="G271">
        <v>0</v>
      </c>
      <c r="H271" t="s">
        <v>1620</v>
      </c>
    </row>
    <row r="272" spans="1:8" x14ac:dyDescent="0.3">
      <c r="A272" s="13" t="str">
        <f t="shared" si="4"/>
        <v>Scopus_271</v>
      </c>
      <c r="B272" t="s">
        <v>1648</v>
      </c>
      <c r="C272" t="s">
        <v>1647</v>
      </c>
      <c r="D272" t="s">
        <v>1651</v>
      </c>
      <c r="E272" t="s">
        <v>1650</v>
      </c>
      <c r="F272">
        <v>2020</v>
      </c>
      <c r="G272">
        <v>8</v>
      </c>
      <c r="H272" t="s">
        <v>1649</v>
      </c>
    </row>
    <row r="273" spans="1:8" x14ac:dyDescent="0.3">
      <c r="A273" s="13" t="str">
        <f t="shared" si="4"/>
        <v>Scopus_272</v>
      </c>
      <c r="B273" t="s">
        <v>1532</v>
      </c>
      <c r="C273" t="s">
        <v>29</v>
      </c>
      <c r="D273" t="s">
        <v>29</v>
      </c>
      <c r="E273" t="s">
        <v>1534</v>
      </c>
      <c r="F273">
        <v>2020</v>
      </c>
      <c r="G273">
        <v>0</v>
      </c>
      <c r="H273" t="s">
        <v>1621</v>
      </c>
    </row>
    <row r="274" spans="1:8" x14ac:dyDescent="0.3">
      <c r="A274" s="13" t="str">
        <f t="shared" si="4"/>
        <v>Scopus_273</v>
      </c>
      <c r="B274" t="s">
        <v>1435</v>
      </c>
      <c r="C274" t="s">
        <v>1434</v>
      </c>
      <c r="D274" t="s">
        <v>1438</v>
      </c>
      <c r="E274" t="s">
        <v>1437</v>
      </c>
      <c r="F274">
        <v>2020</v>
      </c>
      <c r="G274">
        <v>6</v>
      </c>
      <c r="H274" t="s">
        <v>1436</v>
      </c>
    </row>
    <row r="275" spans="1:8" x14ac:dyDescent="0.3">
      <c r="A275" s="13" t="str">
        <f t="shared" si="4"/>
        <v>Scopus_274</v>
      </c>
      <c r="B275" t="s">
        <v>1440</v>
      </c>
      <c r="C275" t="s">
        <v>1439</v>
      </c>
      <c r="D275" t="s">
        <v>1443</v>
      </c>
      <c r="E275" t="s">
        <v>1442</v>
      </c>
      <c r="F275">
        <v>2021</v>
      </c>
      <c r="G275">
        <v>2</v>
      </c>
      <c r="H275" t="s">
        <v>1441</v>
      </c>
    </row>
    <row r="276" spans="1:8" x14ac:dyDescent="0.3">
      <c r="A276" s="13" t="str">
        <f t="shared" si="4"/>
        <v>Scopus_275</v>
      </c>
      <c r="B276" t="s">
        <v>1623</v>
      </c>
      <c r="C276" t="s">
        <v>1622</v>
      </c>
      <c r="D276" t="s">
        <v>29</v>
      </c>
      <c r="E276" t="s">
        <v>1625</v>
      </c>
      <c r="F276">
        <v>2020</v>
      </c>
      <c r="G276">
        <v>2</v>
      </c>
      <c r="H276" t="s">
        <v>1624</v>
      </c>
    </row>
    <row r="277" spans="1:8" x14ac:dyDescent="0.3">
      <c r="A277" s="13" t="str">
        <f t="shared" si="4"/>
        <v>Scopus_276</v>
      </c>
      <c r="B277" t="s">
        <v>1532</v>
      </c>
      <c r="C277" t="s">
        <v>29</v>
      </c>
      <c r="D277" t="s">
        <v>29</v>
      </c>
      <c r="E277" t="s">
        <v>1534</v>
      </c>
      <c r="F277">
        <v>2020</v>
      </c>
      <c r="G277">
        <v>0</v>
      </c>
      <c r="H277" t="s">
        <v>1626</v>
      </c>
    </row>
    <row r="278" spans="1:8" x14ac:dyDescent="0.3">
      <c r="A278" s="13" t="str">
        <f t="shared" si="4"/>
        <v>Scopus_277</v>
      </c>
      <c r="B278" t="s">
        <v>1585</v>
      </c>
      <c r="C278" t="s">
        <v>1584</v>
      </c>
      <c r="D278" t="s">
        <v>1588</v>
      </c>
      <c r="E278" t="s">
        <v>1587</v>
      </c>
      <c r="F278">
        <v>2020</v>
      </c>
      <c r="G278">
        <v>0</v>
      </c>
      <c r="H278" t="s">
        <v>1586</v>
      </c>
    </row>
    <row r="279" spans="1:8" x14ac:dyDescent="0.3">
      <c r="A279" s="13" t="str">
        <f t="shared" si="4"/>
        <v>Scopus_278</v>
      </c>
      <c r="B279" t="s">
        <v>1532</v>
      </c>
      <c r="C279" t="s">
        <v>29</v>
      </c>
      <c r="D279" t="s">
        <v>29</v>
      </c>
      <c r="E279" t="s">
        <v>1534</v>
      </c>
      <c r="F279">
        <v>2020</v>
      </c>
      <c r="G279">
        <v>0</v>
      </c>
      <c r="H279" t="s">
        <v>1627</v>
      </c>
    </row>
    <row r="280" spans="1:8" x14ac:dyDescent="0.3">
      <c r="A280" s="13" t="str">
        <f t="shared" si="4"/>
        <v>Scopus_279</v>
      </c>
      <c r="B280" t="s">
        <v>1445</v>
      </c>
      <c r="C280" t="s">
        <v>1444</v>
      </c>
      <c r="D280" t="s">
        <v>1448</v>
      </c>
      <c r="E280" t="s">
        <v>1447</v>
      </c>
      <c r="F280">
        <v>2021</v>
      </c>
      <c r="G280">
        <v>1</v>
      </c>
      <c r="H280" t="s">
        <v>1446</v>
      </c>
    </row>
    <row r="281" spans="1:8" x14ac:dyDescent="0.3">
      <c r="A281" s="13" t="str">
        <f t="shared" si="4"/>
        <v>Scopus_280</v>
      </c>
      <c r="B281" t="s">
        <v>1507</v>
      </c>
      <c r="C281" t="s">
        <v>1506</v>
      </c>
      <c r="D281" t="s">
        <v>1510</v>
      </c>
      <c r="E281" t="s">
        <v>1509</v>
      </c>
      <c r="F281">
        <v>2021</v>
      </c>
      <c r="G281">
        <v>0</v>
      </c>
      <c r="H281" t="s">
        <v>1508</v>
      </c>
    </row>
    <row r="282" spans="1:8" x14ac:dyDescent="0.3">
      <c r="A282" s="13" t="str">
        <f t="shared" si="4"/>
        <v>Scopus_281</v>
      </c>
      <c r="B282" t="s">
        <v>1512</v>
      </c>
      <c r="C282" t="s">
        <v>1511</v>
      </c>
      <c r="D282" t="s">
        <v>1514</v>
      </c>
      <c r="E282" t="s">
        <v>1913</v>
      </c>
      <c r="F282">
        <v>2020</v>
      </c>
      <c r="G282">
        <v>45</v>
      </c>
      <c r="H282" t="s">
        <v>1513</v>
      </c>
    </row>
    <row r="283" spans="1:8" x14ac:dyDescent="0.3">
      <c r="A283" s="13" t="str">
        <f t="shared" si="4"/>
        <v>Scopus_282</v>
      </c>
      <c r="B283" t="s">
        <v>447</v>
      </c>
      <c r="C283" t="s">
        <v>1449</v>
      </c>
      <c r="D283" t="s">
        <v>29</v>
      </c>
      <c r="E283" t="s">
        <v>1451</v>
      </c>
      <c r="F283">
        <v>2021</v>
      </c>
      <c r="G283">
        <v>1</v>
      </c>
      <c r="H283" t="s">
        <v>1450</v>
      </c>
    </row>
    <row r="284" spans="1:8" x14ac:dyDescent="0.3">
      <c r="A284" s="13" t="str">
        <f t="shared" si="4"/>
        <v>Scopus_283</v>
      </c>
      <c r="B284" t="s">
        <v>1532</v>
      </c>
      <c r="C284" t="s">
        <v>29</v>
      </c>
      <c r="D284" t="s">
        <v>29</v>
      </c>
      <c r="E284" t="s">
        <v>1534</v>
      </c>
      <c r="F284">
        <v>2020</v>
      </c>
      <c r="G284">
        <v>0</v>
      </c>
      <c r="H284" t="s">
        <v>1589</v>
      </c>
    </row>
    <row r="285" spans="1:8" x14ac:dyDescent="0.3">
      <c r="A285" s="13" t="str">
        <f t="shared" si="4"/>
        <v>Scopus_284</v>
      </c>
      <c r="B285" t="s">
        <v>1532</v>
      </c>
      <c r="C285" t="s">
        <v>29</v>
      </c>
      <c r="D285" t="s">
        <v>29</v>
      </c>
      <c r="E285" t="s">
        <v>1534</v>
      </c>
      <c r="F285">
        <v>2020</v>
      </c>
      <c r="G285">
        <v>0</v>
      </c>
      <c r="H285" t="s">
        <v>1590</v>
      </c>
    </row>
    <row r="286" spans="1:8" x14ac:dyDescent="0.3">
      <c r="A286" s="13" t="str">
        <f t="shared" si="4"/>
        <v>Scopus_285</v>
      </c>
      <c r="B286" t="s">
        <v>1532</v>
      </c>
      <c r="C286" t="s">
        <v>29</v>
      </c>
      <c r="D286" t="s">
        <v>29</v>
      </c>
      <c r="E286" t="s">
        <v>1534</v>
      </c>
      <c r="F286">
        <v>2020</v>
      </c>
      <c r="G286">
        <v>0</v>
      </c>
      <c r="H286" t="s">
        <v>1660</v>
      </c>
    </row>
    <row r="287" spans="1:8" x14ac:dyDescent="0.3">
      <c r="A287" s="13" t="str">
        <f t="shared" si="4"/>
        <v>Scopus_286</v>
      </c>
      <c r="B287" t="s">
        <v>1592</v>
      </c>
      <c r="C287" t="s">
        <v>1591</v>
      </c>
      <c r="D287" t="s">
        <v>1595</v>
      </c>
      <c r="E287" t="s">
        <v>1594</v>
      </c>
      <c r="F287">
        <v>2020</v>
      </c>
      <c r="G287">
        <v>7</v>
      </c>
      <c r="H287" t="s">
        <v>1593</v>
      </c>
    </row>
    <row r="288" spans="1:8" x14ac:dyDescent="0.3">
      <c r="A288" s="13" t="str">
        <f t="shared" si="4"/>
        <v>Scopus_287</v>
      </c>
      <c r="B288" t="s">
        <v>1516</v>
      </c>
      <c r="C288" t="s">
        <v>1515</v>
      </c>
      <c r="D288" t="s">
        <v>1519</v>
      </c>
      <c r="E288" t="s">
        <v>1518</v>
      </c>
      <c r="F288">
        <v>2021</v>
      </c>
      <c r="G288">
        <v>10</v>
      </c>
      <c r="H288" t="s">
        <v>1517</v>
      </c>
    </row>
    <row r="289" spans="1:8" x14ac:dyDescent="0.3">
      <c r="A289" s="13" t="str">
        <f t="shared" si="4"/>
        <v>Scopus_288</v>
      </c>
      <c r="B289" t="s">
        <v>1521</v>
      </c>
      <c r="C289" t="s">
        <v>1520</v>
      </c>
      <c r="D289" t="s">
        <v>1524</v>
      </c>
      <c r="E289" t="s">
        <v>1523</v>
      </c>
      <c r="F289">
        <v>2021</v>
      </c>
      <c r="G289">
        <v>3</v>
      </c>
      <c r="H289" t="s">
        <v>1522</v>
      </c>
    </row>
    <row r="290" spans="1:8" x14ac:dyDescent="0.3">
      <c r="A290" s="13" t="str">
        <f t="shared" si="4"/>
        <v>Scopus_289</v>
      </c>
      <c r="B290" t="s">
        <v>481</v>
      </c>
      <c r="C290" t="s">
        <v>1628</v>
      </c>
      <c r="D290" t="s">
        <v>29</v>
      </c>
      <c r="E290" t="s">
        <v>1630</v>
      </c>
      <c r="F290">
        <v>2020</v>
      </c>
      <c r="G290">
        <v>1</v>
      </c>
      <c r="H290" t="s">
        <v>1629</v>
      </c>
    </row>
    <row r="291" spans="1:8" x14ac:dyDescent="0.3">
      <c r="A291" s="13" t="str">
        <f t="shared" si="4"/>
        <v>Scopus_290</v>
      </c>
      <c r="B291" t="s">
        <v>1386</v>
      </c>
      <c r="C291" t="s">
        <v>1385</v>
      </c>
      <c r="D291" t="s">
        <v>29</v>
      </c>
      <c r="E291" t="s">
        <v>1526</v>
      </c>
      <c r="F291">
        <v>2021</v>
      </c>
      <c r="G291">
        <v>0</v>
      </c>
      <c r="H291" t="s">
        <v>1525</v>
      </c>
    </row>
    <row r="292" spans="1:8" x14ac:dyDescent="0.3">
      <c r="A292" s="13" t="str">
        <f t="shared" si="4"/>
        <v>Scopus_291</v>
      </c>
      <c r="B292" t="s">
        <v>1528</v>
      </c>
      <c r="C292" t="s">
        <v>1527</v>
      </c>
      <c r="D292" t="s">
        <v>1531</v>
      </c>
      <c r="E292" t="s">
        <v>1530</v>
      </c>
      <c r="F292">
        <v>2020</v>
      </c>
      <c r="G292">
        <v>1</v>
      </c>
      <c r="H292" t="s">
        <v>1529</v>
      </c>
    </row>
    <row r="293" spans="1:8" x14ac:dyDescent="0.3">
      <c r="A293" s="13" t="str">
        <f t="shared" si="4"/>
        <v>Scopus_292</v>
      </c>
      <c r="B293" t="s">
        <v>1597</v>
      </c>
      <c r="C293" t="s">
        <v>1596</v>
      </c>
      <c r="D293" t="s">
        <v>29</v>
      </c>
      <c r="E293" t="s">
        <v>1599</v>
      </c>
      <c r="F293">
        <v>2020</v>
      </c>
      <c r="G293">
        <v>1</v>
      </c>
      <c r="H293" t="s">
        <v>1598</v>
      </c>
    </row>
    <row r="294" spans="1:8" x14ac:dyDescent="0.3">
      <c r="A294" s="13" t="str">
        <f t="shared" si="4"/>
        <v>Scopus_293</v>
      </c>
      <c r="B294" t="s">
        <v>1664</v>
      </c>
      <c r="C294" t="s">
        <v>1663</v>
      </c>
      <c r="D294" t="s">
        <v>1667</v>
      </c>
      <c r="E294" t="s">
        <v>1666</v>
      </c>
      <c r="F294">
        <v>2020</v>
      </c>
      <c r="G294">
        <v>10</v>
      </c>
      <c r="H294" t="s">
        <v>1665</v>
      </c>
    </row>
    <row r="295" spans="1:8" x14ac:dyDescent="0.3">
      <c r="A295" s="13" t="str">
        <f t="shared" si="4"/>
        <v>Scopus_294</v>
      </c>
      <c r="B295" t="s">
        <v>1532</v>
      </c>
      <c r="C295" t="s">
        <v>29</v>
      </c>
      <c r="D295" t="s">
        <v>29</v>
      </c>
      <c r="E295" t="s">
        <v>1534</v>
      </c>
      <c r="F295">
        <v>2020</v>
      </c>
      <c r="G295">
        <v>0</v>
      </c>
      <c r="H295" t="s">
        <v>1631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1960-6B64-46AF-B5D8-C677DEB11749}">
  <sheetPr codeName="Sheet6"/>
  <dimension ref="A1:H110"/>
  <sheetViews>
    <sheetView workbookViewId="0">
      <selection activeCell="A2" sqref="A2"/>
    </sheetView>
  </sheetViews>
  <sheetFormatPr defaultRowHeight="14.4" x14ac:dyDescent="0.3"/>
  <cols>
    <col min="1" max="1" width="11.33203125" customWidth="1"/>
    <col min="2" max="2" width="73.44140625" customWidth="1"/>
    <col min="3" max="3" width="24.5546875" customWidth="1"/>
    <col min="4" max="4" width="29.6640625" customWidth="1"/>
    <col min="5" max="5" width="60.33203125" style="7" customWidth="1"/>
    <col min="6" max="6" width="15.109375" style="7" customWidth="1"/>
    <col min="7" max="7" width="14.109375" customWidth="1"/>
    <col min="8" max="8" width="49.109375" customWidth="1"/>
  </cols>
  <sheetData>
    <row r="1" spans="1:8" x14ac:dyDescent="0.3">
      <c r="A1" t="s">
        <v>40</v>
      </c>
      <c r="B1" t="s">
        <v>16</v>
      </c>
      <c r="C1" t="s">
        <v>8</v>
      </c>
      <c r="D1" t="s">
        <v>28</v>
      </c>
      <c r="E1" t="s">
        <v>30</v>
      </c>
      <c r="F1" s="8" t="s">
        <v>38</v>
      </c>
      <c r="G1" s="8" t="s">
        <v>39</v>
      </c>
      <c r="H1" t="s">
        <v>51</v>
      </c>
    </row>
    <row r="2" spans="1:8" x14ac:dyDescent="0.3">
      <c r="A2" s="17" t="str">
        <f t="shared" ref="A2:A33" si="0">"WoS_" &amp; ROW()-1</f>
        <v>WoS_1</v>
      </c>
      <c r="B2" t="s">
        <v>431</v>
      </c>
      <c r="C2" t="s">
        <v>331</v>
      </c>
      <c r="E2" t="s">
        <v>546</v>
      </c>
      <c r="F2">
        <v>2020</v>
      </c>
      <c r="G2">
        <v>0</v>
      </c>
      <c r="H2" t="str">
        <f>HYPERLINK("http://dx.doi.org/10.1109/ACCESS.2020.2970862","http://dx.doi.org/10.1109/ACCESS.2020.2970862")</f>
        <v>http://dx.doi.org/10.1109/ACCESS.2020.2970862</v>
      </c>
    </row>
    <row r="3" spans="1:8" x14ac:dyDescent="0.3">
      <c r="A3" s="17" t="str">
        <f t="shared" si="0"/>
        <v>WoS_2</v>
      </c>
      <c r="B3" t="s">
        <v>17</v>
      </c>
      <c r="C3" t="s">
        <v>9</v>
      </c>
      <c r="E3" t="s">
        <v>31</v>
      </c>
      <c r="F3">
        <v>2024</v>
      </c>
      <c r="G3">
        <v>0</v>
      </c>
      <c r="H3" t="str">
        <f>HYPERLINK("http://dx.doi.org/10.1186/s12874-024-02257-8","http://dx.doi.org/10.1186/s12874-024-02257-8")</f>
        <v>http://dx.doi.org/10.1186/s12874-024-02257-8</v>
      </c>
    </row>
    <row r="4" spans="1:8" x14ac:dyDescent="0.3">
      <c r="A4" s="17" t="str">
        <f t="shared" si="0"/>
        <v>WoS_3</v>
      </c>
      <c r="B4" t="s">
        <v>63</v>
      </c>
      <c r="C4" t="s">
        <v>330</v>
      </c>
      <c r="E4" t="s">
        <v>545</v>
      </c>
      <c r="F4">
        <v>2022</v>
      </c>
      <c r="G4">
        <v>17</v>
      </c>
      <c r="H4" t="str">
        <f>HYPERLINK("http://dx.doi.org/10.1016/j.eswa.2021.115992","http://dx.doi.org/10.1016/j.eswa.2021.115992")</f>
        <v>http://dx.doi.org/10.1016/j.eswa.2021.115992</v>
      </c>
    </row>
    <row r="5" spans="1:8" x14ac:dyDescent="0.3">
      <c r="A5" s="17" t="str">
        <f t="shared" si="0"/>
        <v>WoS_4</v>
      </c>
      <c r="B5" t="s">
        <v>449</v>
      </c>
      <c r="C5" t="s">
        <v>349</v>
      </c>
      <c r="E5" t="s">
        <v>564</v>
      </c>
      <c r="F5">
        <v>2021</v>
      </c>
      <c r="G5">
        <v>8</v>
      </c>
      <c r="H5" t="str">
        <f>HYPERLINK("http://dx.doi.org/10.1109/ICCV48922.2021.01604","http://dx.doi.org/10.1109/ICCV48922.2021.01604")</f>
        <v>http://dx.doi.org/10.1109/ICCV48922.2021.01604</v>
      </c>
    </row>
    <row r="6" spans="1:8" x14ac:dyDescent="0.3">
      <c r="A6" s="17" t="str">
        <f t="shared" si="0"/>
        <v>WoS_5</v>
      </c>
      <c r="B6" t="s">
        <v>435</v>
      </c>
      <c r="C6" t="s">
        <v>335</v>
      </c>
      <c r="E6" t="s">
        <v>550</v>
      </c>
      <c r="F6">
        <v>2024</v>
      </c>
      <c r="G6">
        <v>0</v>
      </c>
      <c r="H6" t="str">
        <f>HYPERLINK("http://dx.doi.org/10.1007/978-3-031-60635-9_1","http://dx.doi.org/10.1007/978-3-031-60635-9_1")</f>
        <v>http://dx.doi.org/10.1007/978-3-031-60635-9_1</v>
      </c>
    </row>
    <row r="7" spans="1:8" x14ac:dyDescent="0.3">
      <c r="A7" s="17" t="str">
        <f t="shared" si="0"/>
        <v>WoS_6</v>
      </c>
      <c r="B7" t="s">
        <v>19</v>
      </c>
      <c r="C7" t="s">
        <v>11</v>
      </c>
      <c r="E7" t="s">
        <v>33</v>
      </c>
      <c r="F7">
        <v>2023</v>
      </c>
      <c r="G7">
        <v>0</v>
      </c>
      <c r="H7" t="str">
        <f>HYPERLINK("http://dx.doi.org/10.1145/3594778.3594881","http://dx.doi.org/10.1145/3594778.3594881")</f>
        <v>http://dx.doi.org/10.1145/3594778.3594881</v>
      </c>
    </row>
    <row r="8" spans="1:8" x14ac:dyDescent="0.3">
      <c r="A8" s="17" t="str">
        <f t="shared" si="0"/>
        <v>WoS_7</v>
      </c>
      <c r="B8" t="s">
        <v>436</v>
      </c>
      <c r="C8" t="s">
        <v>336</v>
      </c>
      <c r="E8" t="s">
        <v>551</v>
      </c>
      <c r="F8">
        <v>2020</v>
      </c>
      <c r="G8">
        <v>20</v>
      </c>
      <c r="H8" t="str">
        <f>HYPERLINK("http://dx.doi.org/10.1145/3379445","http://dx.doi.org/10.1145/3379445")</f>
        <v>http://dx.doi.org/10.1145/3379445</v>
      </c>
    </row>
    <row r="9" spans="1:8" x14ac:dyDescent="0.3">
      <c r="A9" s="17" t="str">
        <f t="shared" si="0"/>
        <v>WoS_8</v>
      </c>
      <c r="B9" t="s">
        <v>437</v>
      </c>
      <c r="C9" t="s">
        <v>337</v>
      </c>
      <c r="E9" t="s">
        <v>552</v>
      </c>
      <c r="F9">
        <v>2023</v>
      </c>
      <c r="G9">
        <v>3</v>
      </c>
      <c r="H9" t="str">
        <f>HYPERLINK("http://dx.doi.org/10.1007/978-3-031-13249-0_3","http://dx.doi.org/10.1007/978-3-031-13249-0_3")</f>
        <v>http://dx.doi.org/10.1007/978-3-031-13249-0_3</v>
      </c>
    </row>
    <row r="10" spans="1:8" x14ac:dyDescent="0.3">
      <c r="A10" s="17" t="str">
        <f t="shared" si="0"/>
        <v>WoS_9</v>
      </c>
      <c r="B10" t="s">
        <v>432</v>
      </c>
      <c r="C10" t="s">
        <v>332</v>
      </c>
      <c r="E10" t="s">
        <v>547</v>
      </c>
      <c r="F10">
        <v>2023</v>
      </c>
      <c r="G10">
        <v>10</v>
      </c>
      <c r="H10" t="str">
        <f>HYPERLINK("http://dx.doi.org/10.1016/j.autcon.2023.104838","http://dx.doi.org/10.1016/j.autcon.2023.104838")</f>
        <v>http://dx.doi.org/10.1016/j.autcon.2023.104838</v>
      </c>
    </row>
    <row r="11" spans="1:8" x14ac:dyDescent="0.3">
      <c r="A11" s="17" t="str">
        <f t="shared" si="0"/>
        <v>WoS_10</v>
      </c>
      <c r="B11" t="s">
        <v>438</v>
      </c>
      <c r="C11" t="s">
        <v>338</v>
      </c>
      <c r="E11" t="s">
        <v>553</v>
      </c>
      <c r="F11">
        <v>2021</v>
      </c>
      <c r="G11">
        <v>0</v>
      </c>
      <c r="H11" t="str">
        <f>HYPERLINK("http://dx.doi.org/10.1109/ICASSP39728.2021.9413778","http://dx.doi.org/10.1109/ICASSP39728.2021.9413778")</f>
        <v>http://dx.doi.org/10.1109/ICASSP39728.2021.9413778</v>
      </c>
    </row>
    <row r="12" spans="1:8" x14ac:dyDescent="0.3">
      <c r="A12" s="17" t="str">
        <f t="shared" si="0"/>
        <v>WoS_11</v>
      </c>
      <c r="B12" t="s">
        <v>439</v>
      </c>
      <c r="C12" t="s">
        <v>339</v>
      </c>
      <c r="E12" t="s">
        <v>554</v>
      </c>
      <c r="F12">
        <v>2022</v>
      </c>
      <c r="G12">
        <v>1</v>
      </c>
      <c r="H12" t="str">
        <f>HYPERLINK("http://dx.doi.org/10.1016/j.compbiomed.2022.106141","http://dx.doi.org/10.1016/j.compbiomed.2022.106141")</f>
        <v>http://dx.doi.org/10.1016/j.compbiomed.2022.106141</v>
      </c>
    </row>
    <row r="13" spans="1:8" x14ac:dyDescent="0.3">
      <c r="A13" s="17" t="str">
        <f t="shared" si="0"/>
        <v>WoS_12</v>
      </c>
      <c r="B13" t="s">
        <v>440</v>
      </c>
      <c r="C13" t="s">
        <v>340</v>
      </c>
      <c r="E13" t="s">
        <v>555</v>
      </c>
      <c r="F13">
        <v>2023</v>
      </c>
      <c r="G13">
        <v>1</v>
      </c>
      <c r="H13" t="str">
        <f>HYPERLINK("http://dx.doi.org/10.4204/EPTCS.388.3","http://dx.doi.org/10.4204/EPTCS.388.3")</f>
        <v>http://dx.doi.org/10.4204/EPTCS.388.3</v>
      </c>
    </row>
    <row r="14" spans="1:8" x14ac:dyDescent="0.3">
      <c r="A14" s="17" t="str">
        <f t="shared" si="0"/>
        <v>WoS_13</v>
      </c>
      <c r="B14" t="s">
        <v>441</v>
      </c>
      <c r="C14" t="s">
        <v>341</v>
      </c>
      <c r="E14" t="s">
        <v>556</v>
      </c>
      <c r="F14">
        <v>2023</v>
      </c>
      <c r="G14">
        <v>6</v>
      </c>
      <c r="H14" t="str">
        <f>HYPERLINK("http://dx.doi.org/10.1109/TKDE.2022.3221333","http://dx.doi.org/10.1109/TKDE.2022.3221333")</f>
        <v>http://dx.doi.org/10.1109/TKDE.2022.3221333</v>
      </c>
    </row>
    <row r="15" spans="1:8" x14ac:dyDescent="0.3">
      <c r="A15" s="17" t="str">
        <f t="shared" si="0"/>
        <v>WoS_14</v>
      </c>
      <c r="B15" t="s">
        <v>442</v>
      </c>
      <c r="C15" t="s">
        <v>342</v>
      </c>
      <c r="E15" t="s">
        <v>557</v>
      </c>
      <c r="F15">
        <v>2021</v>
      </c>
      <c r="G15">
        <v>1</v>
      </c>
      <c r="H15" t="str">
        <f>HYPERLINK("http://dx.doi.org/10.1109/IDAACS53288.2021.9661009","http://dx.doi.org/10.1109/IDAACS53288.2021.9661009")</f>
        <v>http://dx.doi.org/10.1109/IDAACS53288.2021.9661009</v>
      </c>
    </row>
    <row r="16" spans="1:8" x14ac:dyDescent="0.3">
      <c r="A16" s="17" t="str">
        <f t="shared" si="0"/>
        <v>WoS_15</v>
      </c>
      <c r="B16" t="s">
        <v>443</v>
      </c>
      <c r="C16" t="s">
        <v>343</v>
      </c>
      <c r="E16" t="s">
        <v>558</v>
      </c>
      <c r="F16">
        <v>2023</v>
      </c>
      <c r="G16">
        <v>1</v>
      </c>
      <c r="H16" t="str">
        <f>HYPERLINK("http://dx.doi.org/10.1109/TKDE.2023.3267505","http://dx.doi.org/10.1109/TKDE.2023.3267505")</f>
        <v>http://dx.doi.org/10.1109/TKDE.2023.3267505</v>
      </c>
    </row>
    <row r="17" spans="1:8" x14ac:dyDescent="0.3">
      <c r="A17" s="17" t="str">
        <f t="shared" si="0"/>
        <v>WoS_16</v>
      </c>
      <c r="B17" t="s">
        <v>444</v>
      </c>
      <c r="C17" t="s">
        <v>344</v>
      </c>
      <c r="E17" t="s">
        <v>559</v>
      </c>
      <c r="F17">
        <v>2021</v>
      </c>
      <c r="G17">
        <v>1</v>
      </c>
      <c r="H17" t="str">
        <f>HYPERLINK("http://dx.doi.org/10.1109/ICSC50631.2021.00015","http://dx.doi.org/10.1109/ICSC50631.2021.00015")</f>
        <v>http://dx.doi.org/10.1109/ICSC50631.2021.00015</v>
      </c>
    </row>
    <row r="18" spans="1:8" x14ac:dyDescent="0.3">
      <c r="A18" s="17" t="str">
        <f t="shared" si="0"/>
        <v>WoS_17</v>
      </c>
      <c r="B18" t="s">
        <v>445</v>
      </c>
      <c r="C18" t="s">
        <v>345</v>
      </c>
      <c r="E18" t="s">
        <v>560</v>
      </c>
      <c r="F18">
        <v>2024</v>
      </c>
      <c r="G18">
        <v>0</v>
      </c>
      <c r="H18" t="str">
        <f>HYPERLINK("http://dx.doi.org/10.1016/j.neucom.2024.128367","http://dx.doi.org/10.1016/j.neucom.2024.128367")</f>
        <v>http://dx.doi.org/10.1016/j.neucom.2024.128367</v>
      </c>
    </row>
    <row r="19" spans="1:8" x14ac:dyDescent="0.3">
      <c r="A19" s="17" t="str">
        <f t="shared" si="0"/>
        <v>WoS_18</v>
      </c>
      <c r="B19" t="s">
        <v>446</v>
      </c>
      <c r="C19" t="s">
        <v>346</v>
      </c>
      <c r="E19" t="s">
        <v>561</v>
      </c>
      <c r="F19">
        <v>2021</v>
      </c>
      <c r="G19">
        <v>0</v>
      </c>
      <c r="H19" t="str">
        <f>HYPERLINK("http://dx.doi.org/10.1007/978-3-030-86159-9_38","http://dx.doi.org/10.1007/978-3-030-86159-9_38")</f>
        <v>http://dx.doi.org/10.1007/978-3-030-86159-9_38</v>
      </c>
    </row>
    <row r="20" spans="1:8" x14ac:dyDescent="0.3">
      <c r="A20" s="17" t="str">
        <f t="shared" si="0"/>
        <v>WoS_19</v>
      </c>
      <c r="B20" t="s">
        <v>447</v>
      </c>
      <c r="C20" t="s">
        <v>347</v>
      </c>
      <c r="E20" t="s">
        <v>562</v>
      </c>
      <c r="F20">
        <v>2021</v>
      </c>
      <c r="G20">
        <v>1</v>
      </c>
      <c r="H20" t="str">
        <f>HYPERLINK("http://dx.doi.org/10.1007/978-3-030-93736-2_6","http://dx.doi.org/10.1007/978-3-030-93736-2_6")</f>
        <v>http://dx.doi.org/10.1007/978-3-030-93736-2_6</v>
      </c>
    </row>
    <row r="21" spans="1:8" x14ac:dyDescent="0.3">
      <c r="A21" s="17" t="str">
        <f t="shared" si="0"/>
        <v>WoS_20</v>
      </c>
      <c r="B21" t="s">
        <v>448</v>
      </c>
      <c r="C21" t="s">
        <v>348</v>
      </c>
      <c r="E21" t="s">
        <v>563</v>
      </c>
      <c r="F21">
        <v>2022</v>
      </c>
      <c r="G21">
        <v>6</v>
      </c>
      <c r="H21" t="str">
        <f>HYPERLINK("http://dx.doi.org/10.3390/electronics11081202","http://dx.doi.org/10.3390/electronics11081202")</f>
        <v>http://dx.doi.org/10.3390/electronics11081202</v>
      </c>
    </row>
    <row r="22" spans="1:8" x14ac:dyDescent="0.3">
      <c r="A22" s="17" t="str">
        <f t="shared" si="0"/>
        <v>WoS_21</v>
      </c>
      <c r="B22" t="s">
        <v>450</v>
      </c>
      <c r="C22" t="s">
        <v>350</v>
      </c>
      <c r="E22" t="s">
        <v>565</v>
      </c>
      <c r="F22">
        <v>2021</v>
      </c>
      <c r="G22">
        <v>0</v>
      </c>
      <c r="H22" t="str">
        <f>HYPERLINK("http://dx.doi.org/10.1145/3459930.3469553","http://dx.doi.org/10.1145/3459930.3469553")</f>
        <v>http://dx.doi.org/10.1145/3459930.3469553</v>
      </c>
    </row>
    <row r="23" spans="1:8" x14ac:dyDescent="0.3">
      <c r="A23" s="17" t="str">
        <f t="shared" si="0"/>
        <v>WoS_22</v>
      </c>
      <c r="B23" t="s">
        <v>451</v>
      </c>
      <c r="C23" t="s">
        <v>351</v>
      </c>
      <c r="E23" t="s">
        <v>566</v>
      </c>
      <c r="F23">
        <v>2022</v>
      </c>
      <c r="G23">
        <v>1</v>
      </c>
      <c r="H23" t="s">
        <v>29</v>
      </c>
    </row>
    <row r="24" spans="1:8" x14ac:dyDescent="0.3">
      <c r="A24" s="17" t="str">
        <f t="shared" si="0"/>
        <v>WoS_23</v>
      </c>
      <c r="B24" t="s">
        <v>452</v>
      </c>
      <c r="C24" t="s">
        <v>352</v>
      </c>
      <c r="E24" t="s">
        <v>567</v>
      </c>
      <c r="F24">
        <v>2023</v>
      </c>
      <c r="G24">
        <v>2</v>
      </c>
      <c r="H24" t="str">
        <f>HYPERLINK("http://dx.doi.org/10.1109/ICCV51070.2023.01791","http://dx.doi.org/10.1109/ICCV51070.2023.01791")</f>
        <v>http://dx.doi.org/10.1109/ICCV51070.2023.01791</v>
      </c>
    </row>
    <row r="25" spans="1:8" x14ac:dyDescent="0.3">
      <c r="A25" s="17" t="str">
        <f t="shared" si="0"/>
        <v>WoS_24</v>
      </c>
      <c r="B25" t="s">
        <v>453</v>
      </c>
      <c r="C25" t="s">
        <v>353</v>
      </c>
      <c r="E25" t="s">
        <v>568</v>
      </c>
      <c r="F25">
        <v>2021</v>
      </c>
      <c r="G25">
        <v>7</v>
      </c>
      <c r="H25" t="str">
        <f>HYPERLINK("http://dx.doi.org/10.1007/s10489-021-02389-0","http://dx.doi.org/10.1007/s10489-021-02389-0")</f>
        <v>http://dx.doi.org/10.1007/s10489-021-02389-0</v>
      </c>
    </row>
    <row r="26" spans="1:8" x14ac:dyDescent="0.3">
      <c r="A26" s="17" t="str">
        <f t="shared" si="0"/>
        <v>WoS_25</v>
      </c>
      <c r="B26" t="s">
        <v>454</v>
      </c>
      <c r="C26" t="s">
        <v>354</v>
      </c>
      <c r="E26" t="s">
        <v>569</v>
      </c>
      <c r="F26">
        <v>2024</v>
      </c>
      <c r="G26">
        <v>0</v>
      </c>
      <c r="H26" t="str">
        <f>HYPERLINK("http://dx.doi.org/10.1016/j.knosys.2023.111310","http://dx.doi.org/10.1016/j.knosys.2023.111310")</f>
        <v>http://dx.doi.org/10.1016/j.knosys.2023.111310</v>
      </c>
    </row>
    <row r="27" spans="1:8" x14ac:dyDescent="0.3">
      <c r="A27" s="17" t="str">
        <f t="shared" si="0"/>
        <v>WoS_26</v>
      </c>
      <c r="B27" t="s">
        <v>54</v>
      </c>
      <c r="C27" t="s">
        <v>355</v>
      </c>
      <c r="E27" t="s">
        <v>570</v>
      </c>
      <c r="F27">
        <v>2024</v>
      </c>
      <c r="G27">
        <v>0</v>
      </c>
      <c r="H27" t="str">
        <f>HYPERLINK("http://dx.doi.org/10.1016/j.ecoinf.2024.102698","http://dx.doi.org/10.1016/j.ecoinf.2024.102698")</f>
        <v>http://dx.doi.org/10.1016/j.ecoinf.2024.102698</v>
      </c>
    </row>
    <row r="28" spans="1:8" x14ac:dyDescent="0.3">
      <c r="A28" s="17" t="str">
        <f t="shared" si="0"/>
        <v>WoS_27</v>
      </c>
      <c r="B28" t="s">
        <v>455</v>
      </c>
      <c r="C28" t="s">
        <v>356</v>
      </c>
      <c r="E28" t="s">
        <v>571</v>
      </c>
      <c r="F28">
        <v>2021</v>
      </c>
      <c r="G28">
        <v>4</v>
      </c>
      <c r="H28" t="str">
        <f>HYPERLINK("http://dx.doi.org/10.1109/ICCV48922.2021.01574","http://dx.doi.org/10.1109/ICCV48922.2021.01574")</f>
        <v>http://dx.doi.org/10.1109/ICCV48922.2021.01574</v>
      </c>
    </row>
    <row r="29" spans="1:8" x14ac:dyDescent="0.3">
      <c r="A29" s="17" t="str">
        <f t="shared" si="0"/>
        <v>WoS_28</v>
      </c>
      <c r="B29" t="s">
        <v>456</v>
      </c>
      <c r="C29" t="s">
        <v>357</v>
      </c>
      <c r="E29" t="s">
        <v>572</v>
      </c>
      <c r="F29">
        <v>2020</v>
      </c>
      <c r="G29">
        <v>7</v>
      </c>
      <c r="H29" t="str">
        <f>HYPERLINK("http://dx.doi.org/10.1109/ICDM50108.2020.00169","http://dx.doi.org/10.1109/ICDM50108.2020.00169")</f>
        <v>http://dx.doi.org/10.1109/ICDM50108.2020.00169</v>
      </c>
    </row>
    <row r="30" spans="1:8" x14ac:dyDescent="0.3">
      <c r="A30" s="17" t="str">
        <f t="shared" si="0"/>
        <v>WoS_29</v>
      </c>
      <c r="B30" t="s">
        <v>457</v>
      </c>
      <c r="C30" t="s">
        <v>358</v>
      </c>
      <c r="E30" t="s">
        <v>573</v>
      </c>
      <c r="F30">
        <v>2023</v>
      </c>
      <c r="G30">
        <v>0</v>
      </c>
      <c r="H30" t="str">
        <f>HYPERLINK("http://dx.doi.org/10.1371/journal.pcbi.1011582","http://dx.doi.org/10.1371/journal.pcbi.1011582")</f>
        <v>http://dx.doi.org/10.1371/journal.pcbi.1011582</v>
      </c>
    </row>
    <row r="31" spans="1:8" x14ac:dyDescent="0.3">
      <c r="A31" s="17" t="str">
        <f t="shared" si="0"/>
        <v>WoS_30</v>
      </c>
      <c r="B31" t="s">
        <v>458</v>
      </c>
      <c r="C31" t="s">
        <v>359</v>
      </c>
      <c r="E31" t="s">
        <v>574</v>
      </c>
      <c r="F31">
        <v>2024</v>
      </c>
      <c r="G31">
        <v>0</v>
      </c>
      <c r="H31" t="str">
        <f>HYPERLINK("http://dx.doi.org/10.1016/j.aei.2024.102606","http://dx.doi.org/10.1016/j.aei.2024.102606")</f>
        <v>http://dx.doi.org/10.1016/j.aei.2024.102606</v>
      </c>
    </row>
    <row r="32" spans="1:8" x14ac:dyDescent="0.3">
      <c r="A32" s="17" t="str">
        <f t="shared" si="0"/>
        <v>WoS_31</v>
      </c>
      <c r="B32" t="s">
        <v>459</v>
      </c>
      <c r="C32" t="s">
        <v>360</v>
      </c>
      <c r="E32" t="s">
        <v>575</v>
      </c>
      <c r="F32">
        <v>2020</v>
      </c>
      <c r="G32">
        <v>0</v>
      </c>
      <c r="H32" t="s">
        <v>29</v>
      </c>
    </row>
    <row r="33" spans="1:8" x14ac:dyDescent="0.3">
      <c r="A33" s="17" t="str">
        <f t="shared" si="0"/>
        <v>WoS_32</v>
      </c>
      <c r="B33" t="s">
        <v>460</v>
      </c>
      <c r="C33" t="s">
        <v>361</v>
      </c>
      <c r="E33" t="s">
        <v>576</v>
      </c>
      <c r="F33">
        <v>2022</v>
      </c>
      <c r="G33">
        <v>0</v>
      </c>
      <c r="H33" t="str">
        <f>HYPERLINK("http://dx.doi.org/10.1117/12.2619020","http://dx.doi.org/10.1117/12.2619020")</f>
        <v>http://dx.doi.org/10.1117/12.2619020</v>
      </c>
    </row>
    <row r="34" spans="1:8" x14ac:dyDescent="0.3">
      <c r="A34" s="17" t="str">
        <f t="shared" ref="A34:A65" si="1">"WoS_" &amp; ROW()-1</f>
        <v>WoS_33</v>
      </c>
      <c r="B34" t="s">
        <v>461</v>
      </c>
      <c r="C34" t="s">
        <v>362</v>
      </c>
      <c r="E34" t="s">
        <v>577</v>
      </c>
      <c r="F34">
        <v>2023</v>
      </c>
      <c r="G34">
        <v>2</v>
      </c>
      <c r="H34" t="str">
        <f>HYPERLINK("http://dx.doi.org/10.1007/978-3-031-44992-5_7","http://dx.doi.org/10.1007/978-3-031-44992-5_7")</f>
        <v>http://dx.doi.org/10.1007/978-3-031-44992-5_7</v>
      </c>
    </row>
    <row r="35" spans="1:8" x14ac:dyDescent="0.3">
      <c r="A35" s="17" t="str">
        <f t="shared" si="1"/>
        <v>WoS_34</v>
      </c>
      <c r="B35" t="s">
        <v>462</v>
      </c>
      <c r="C35" t="s">
        <v>363</v>
      </c>
      <c r="E35" t="s">
        <v>578</v>
      </c>
      <c r="F35">
        <v>2022</v>
      </c>
      <c r="G35">
        <v>1</v>
      </c>
      <c r="H35" t="s">
        <v>29</v>
      </c>
    </row>
    <row r="36" spans="1:8" x14ac:dyDescent="0.3">
      <c r="A36" s="17" t="str">
        <f t="shared" si="1"/>
        <v>WoS_35</v>
      </c>
      <c r="B36" t="s">
        <v>18</v>
      </c>
      <c r="C36" t="s">
        <v>10</v>
      </c>
      <c r="E36" t="s">
        <v>32</v>
      </c>
      <c r="F36">
        <v>2022</v>
      </c>
      <c r="G36">
        <v>0</v>
      </c>
      <c r="H36" t="s">
        <v>29</v>
      </c>
    </row>
    <row r="37" spans="1:8" x14ac:dyDescent="0.3">
      <c r="A37" s="17" t="str">
        <f t="shared" si="1"/>
        <v>WoS_36</v>
      </c>
      <c r="B37" t="s">
        <v>434</v>
      </c>
      <c r="C37" t="s">
        <v>334</v>
      </c>
      <c r="E37" t="s">
        <v>549</v>
      </c>
      <c r="F37">
        <v>2024</v>
      </c>
      <c r="G37">
        <v>1</v>
      </c>
      <c r="H37" t="str">
        <f>HYPERLINK("http://dx.doi.org/10.1109/JSAC.2024.3413994","http://dx.doi.org/10.1109/JSAC.2024.3413994")</f>
        <v>http://dx.doi.org/10.1109/JSAC.2024.3413994</v>
      </c>
    </row>
    <row r="38" spans="1:8" x14ac:dyDescent="0.3">
      <c r="A38" s="17" t="str">
        <f t="shared" si="1"/>
        <v>WoS_37</v>
      </c>
      <c r="B38" t="s">
        <v>463</v>
      </c>
      <c r="C38" t="s">
        <v>364</v>
      </c>
      <c r="E38" t="s">
        <v>579</v>
      </c>
      <c r="F38">
        <v>2023</v>
      </c>
      <c r="G38">
        <v>6</v>
      </c>
      <c r="H38" t="str">
        <f>HYPERLINK("http://dx.doi.org/10.1109/JSAC.2023.3242708","http://dx.doi.org/10.1109/JSAC.2023.3242708")</f>
        <v>http://dx.doi.org/10.1109/JSAC.2023.3242708</v>
      </c>
    </row>
    <row r="39" spans="1:8" x14ac:dyDescent="0.3">
      <c r="A39" s="17" t="str">
        <f t="shared" si="1"/>
        <v>WoS_38</v>
      </c>
      <c r="B39" t="s">
        <v>464</v>
      </c>
      <c r="C39" t="s">
        <v>365</v>
      </c>
      <c r="E39" t="s">
        <v>580</v>
      </c>
      <c r="F39">
        <v>2021</v>
      </c>
      <c r="G39">
        <v>1</v>
      </c>
      <c r="H39" t="str">
        <f>HYPERLINK("http://dx.doi.org/10.1109/IROS51168.2021.9636343","http://dx.doi.org/10.1109/IROS51168.2021.9636343")</f>
        <v>http://dx.doi.org/10.1109/IROS51168.2021.9636343</v>
      </c>
    </row>
    <row r="40" spans="1:8" x14ac:dyDescent="0.3">
      <c r="A40" s="17" t="str">
        <f t="shared" si="1"/>
        <v>WoS_39</v>
      </c>
      <c r="B40" t="s">
        <v>465</v>
      </c>
      <c r="C40" t="s">
        <v>366</v>
      </c>
      <c r="E40" t="s">
        <v>581</v>
      </c>
      <c r="F40">
        <v>2023</v>
      </c>
      <c r="G40">
        <v>1</v>
      </c>
      <c r="H40" t="str">
        <f>HYPERLINK("http://dx.doi.org/10.1109/ICOIN56518.2023.10048962","http://dx.doi.org/10.1109/ICOIN56518.2023.10048962")</f>
        <v>http://dx.doi.org/10.1109/ICOIN56518.2023.10048962</v>
      </c>
    </row>
    <row r="41" spans="1:8" x14ac:dyDescent="0.3">
      <c r="A41" s="17" t="str">
        <f t="shared" si="1"/>
        <v>WoS_40</v>
      </c>
      <c r="B41" t="s">
        <v>466</v>
      </c>
      <c r="C41" t="s">
        <v>367</v>
      </c>
      <c r="E41" t="s">
        <v>582</v>
      </c>
      <c r="F41">
        <v>2023</v>
      </c>
      <c r="G41">
        <v>0</v>
      </c>
      <c r="H41" t="str">
        <f>HYPERLINK("http://dx.doi.org/10.1109/POWERTECH55446.2023.10202747","http://dx.doi.org/10.1109/POWERTECH55446.2023.10202747")</f>
        <v>http://dx.doi.org/10.1109/POWERTECH55446.2023.10202747</v>
      </c>
    </row>
    <row r="42" spans="1:8" x14ac:dyDescent="0.3">
      <c r="A42" s="17" t="str">
        <f t="shared" si="1"/>
        <v>WoS_41</v>
      </c>
      <c r="B42" t="s">
        <v>468</v>
      </c>
      <c r="C42" t="s">
        <v>369</v>
      </c>
      <c r="E42" t="s">
        <v>584</v>
      </c>
      <c r="F42">
        <v>2020</v>
      </c>
      <c r="G42">
        <v>4</v>
      </c>
      <c r="H42" t="str">
        <f>HYPERLINK("http://dx.doi.org/10.1016/j.future.2019.10.004","http://dx.doi.org/10.1016/j.future.2019.10.004")</f>
        <v>http://dx.doi.org/10.1016/j.future.2019.10.004</v>
      </c>
    </row>
    <row r="43" spans="1:8" x14ac:dyDescent="0.3">
      <c r="A43" s="17" t="str">
        <f t="shared" si="1"/>
        <v>WoS_42</v>
      </c>
      <c r="B43" t="s">
        <v>467</v>
      </c>
      <c r="C43" t="s">
        <v>368</v>
      </c>
      <c r="E43" t="s">
        <v>583</v>
      </c>
      <c r="F43">
        <v>2020</v>
      </c>
      <c r="G43">
        <v>3</v>
      </c>
      <c r="H43" t="str">
        <f>HYPERLINK("http://dx.doi.org/10.1007/s11704-020-9370-z","http://dx.doi.org/10.1007/s11704-020-9370-z")</f>
        <v>http://dx.doi.org/10.1007/s11704-020-9370-z</v>
      </c>
    </row>
    <row r="44" spans="1:8" x14ac:dyDescent="0.3">
      <c r="A44" s="17" t="str">
        <f t="shared" si="1"/>
        <v>WoS_43</v>
      </c>
      <c r="B44" t="s">
        <v>469</v>
      </c>
      <c r="C44" t="s">
        <v>370</v>
      </c>
      <c r="E44" t="s">
        <v>585</v>
      </c>
      <c r="F44">
        <v>2022</v>
      </c>
      <c r="G44">
        <v>4</v>
      </c>
      <c r="H44" t="str">
        <f>HYPERLINK("http://dx.doi.org/10.1002/sta4.429","http://dx.doi.org/10.1002/sta4.429")</f>
        <v>http://dx.doi.org/10.1002/sta4.429</v>
      </c>
    </row>
    <row r="45" spans="1:8" x14ac:dyDescent="0.3">
      <c r="A45" s="17" t="str">
        <f t="shared" si="1"/>
        <v>WoS_44</v>
      </c>
      <c r="B45" t="s">
        <v>470</v>
      </c>
      <c r="C45" t="s">
        <v>371</v>
      </c>
      <c r="E45" t="s">
        <v>586</v>
      </c>
      <c r="F45">
        <v>2024</v>
      </c>
      <c r="G45">
        <v>0</v>
      </c>
      <c r="H45" t="str">
        <f>HYPERLINK("http://dx.doi.org/10.1007/s10489-024-05760-z","http://dx.doi.org/10.1007/s10489-024-05760-z")</f>
        <v>http://dx.doi.org/10.1007/s10489-024-05760-z</v>
      </c>
    </row>
    <row r="46" spans="1:8" x14ac:dyDescent="0.3">
      <c r="A46" s="17" t="str">
        <f t="shared" si="1"/>
        <v>WoS_45</v>
      </c>
      <c r="B46" t="s">
        <v>471</v>
      </c>
      <c r="C46" t="s">
        <v>372</v>
      </c>
      <c r="E46" t="s">
        <v>587</v>
      </c>
      <c r="F46">
        <v>2020</v>
      </c>
      <c r="G46">
        <v>22</v>
      </c>
      <c r="H46" t="str">
        <f>HYPERLINK("http://dx.doi.org/10.1109/TNNLS.2019.2927301","http://dx.doi.org/10.1109/TNNLS.2019.2927301")</f>
        <v>http://dx.doi.org/10.1109/TNNLS.2019.2927301</v>
      </c>
    </row>
    <row r="47" spans="1:8" x14ac:dyDescent="0.3">
      <c r="A47" s="17" t="str">
        <f t="shared" si="1"/>
        <v>WoS_46</v>
      </c>
      <c r="B47" t="s">
        <v>472</v>
      </c>
      <c r="C47" t="s">
        <v>373</v>
      </c>
      <c r="E47" t="s">
        <v>588</v>
      </c>
      <c r="F47">
        <v>2021</v>
      </c>
      <c r="G47">
        <v>5</v>
      </c>
      <c r="H47" t="str">
        <f>HYPERLINK("http://dx.doi.org/10.3934/mbe.2021426","http://dx.doi.org/10.3934/mbe.2021426")</f>
        <v>http://dx.doi.org/10.3934/mbe.2021426</v>
      </c>
    </row>
    <row r="48" spans="1:8" x14ac:dyDescent="0.3">
      <c r="A48" s="17" t="str">
        <f t="shared" si="1"/>
        <v>WoS_47</v>
      </c>
      <c r="B48" t="s">
        <v>473</v>
      </c>
      <c r="C48" t="s">
        <v>374</v>
      </c>
      <c r="E48" t="s">
        <v>589</v>
      </c>
      <c r="F48">
        <v>2021</v>
      </c>
      <c r="G48">
        <v>4</v>
      </c>
      <c r="H48" t="str">
        <f>HYPERLINK("http://dx.doi.org/10.1097/EDE.0000000000001373","http://dx.doi.org/10.1097/EDE.0000000000001373")</f>
        <v>http://dx.doi.org/10.1097/EDE.0000000000001373</v>
      </c>
    </row>
    <row r="49" spans="1:8" x14ac:dyDescent="0.3">
      <c r="A49" s="17" t="str">
        <f t="shared" si="1"/>
        <v>WoS_48</v>
      </c>
      <c r="B49" t="s">
        <v>474</v>
      </c>
      <c r="C49" t="s">
        <v>375</v>
      </c>
      <c r="E49" t="s">
        <v>590</v>
      </c>
      <c r="F49">
        <v>2022</v>
      </c>
      <c r="G49">
        <v>9</v>
      </c>
      <c r="H49" t="str">
        <f>HYPERLINK("http://dx.doi.org/10.1073/pnas.2212711119","http://dx.doi.org/10.1073/pnas.2212711119")</f>
        <v>http://dx.doi.org/10.1073/pnas.2212711119</v>
      </c>
    </row>
    <row r="50" spans="1:8" x14ac:dyDescent="0.3">
      <c r="A50" s="17" t="str">
        <f t="shared" si="1"/>
        <v>WoS_49</v>
      </c>
      <c r="B50" t="s">
        <v>475</v>
      </c>
      <c r="C50" t="s">
        <v>376</v>
      </c>
      <c r="E50" t="s">
        <v>591</v>
      </c>
      <c r="F50">
        <v>2022</v>
      </c>
      <c r="G50">
        <v>16</v>
      </c>
      <c r="H50" t="str">
        <f>HYPERLINK("http://dx.doi.org/10.1145/3534678.3539429","http://dx.doi.org/10.1145/3534678.3539429")</f>
        <v>http://dx.doi.org/10.1145/3534678.3539429</v>
      </c>
    </row>
    <row r="51" spans="1:8" x14ac:dyDescent="0.3">
      <c r="A51" s="17" t="str">
        <f t="shared" si="1"/>
        <v>WoS_50</v>
      </c>
      <c r="B51" t="s">
        <v>476</v>
      </c>
      <c r="C51" t="s">
        <v>377</v>
      </c>
      <c r="E51" t="s">
        <v>592</v>
      </c>
      <c r="F51">
        <v>2023</v>
      </c>
      <c r="G51">
        <v>2</v>
      </c>
      <c r="H51" t="str">
        <f>HYPERLINK("http://dx.doi.org/10.1007/s10707-022-00485-y","http://dx.doi.org/10.1007/s10707-022-00485-y")</f>
        <v>http://dx.doi.org/10.1007/s10707-022-00485-y</v>
      </c>
    </row>
    <row r="52" spans="1:8" x14ac:dyDescent="0.3">
      <c r="A52" s="17" t="str">
        <f t="shared" si="1"/>
        <v>WoS_51</v>
      </c>
      <c r="B52" t="s">
        <v>521</v>
      </c>
      <c r="C52" t="s">
        <v>417</v>
      </c>
      <c r="E52" t="s">
        <v>633</v>
      </c>
      <c r="F52">
        <v>2024</v>
      </c>
      <c r="G52">
        <v>0</v>
      </c>
      <c r="H52" t="str">
        <f>HYPERLINK("http://dx.doi.org/10.1117/12.3014453","http://dx.doi.org/10.1117/12.3014453")</f>
        <v>http://dx.doi.org/10.1117/12.3014453</v>
      </c>
    </row>
    <row r="53" spans="1:8" x14ac:dyDescent="0.3">
      <c r="A53" s="17" t="str">
        <f t="shared" si="1"/>
        <v>WoS_52</v>
      </c>
      <c r="B53" t="s">
        <v>478</v>
      </c>
      <c r="C53" t="s">
        <v>378</v>
      </c>
      <c r="E53" t="s">
        <v>593</v>
      </c>
      <c r="F53">
        <v>2022</v>
      </c>
      <c r="G53">
        <v>1</v>
      </c>
      <c r="H53" t="str">
        <f>HYPERLINK("http://dx.doi.org/10.2196/38584","http://dx.doi.org/10.2196/38584")</f>
        <v>http://dx.doi.org/10.2196/38584</v>
      </c>
    </row>
    <row r="54" spans="1:8" x14ac:dyDescent="0.3">
      <c r="A54" s="17" t="str">
        <f t="shared" si="1"/>
        <v>WoS_53</v>
      </c>
      <c r="B54" t="s">
        <v>479</v>
      </c>
      <c r="C54" t="s">
        <v>379</v>
      </c>
      <c r="E54" t="s">
        <v>594</v>
      </c>
      <c r="F54">
        <v>2022</v>
      </c>
      <c r="G54">
        <v>0</v>
      </c>
      <c r="H54" t="str">
        <f>HYPERLINK("http://dx.doi.org/10.3390/buildings12081105","http://dx.doi.org/10.3390/buildings12081105")</f>
        <v>http://dx.doi.org/10.3390/buildings12081105</v>
      </c>
    </row>
    <row r="55" spans="1:8" x14ac:dyDescent="0.3">
      <c r="A55" s="17" t="str">
        <f t="shared" si="1"/>
        <v>WoS_54</v>
      </c>
      <c r="B55" t="s">
        <v>480</v>
      </c>
      <c r="C55" t="s">
        <v>380</v>
      </c>
      <c r="E55" t="s">
        <v>595</v>
      </c>
      <c r="F55">
        <v>2023</v>
      </c>
      <c r="G55">
        <v>0</v>
      </c>
      <c r="H55" t="s">
        <v>29</v>
      </c>
    </row>
    <row r="56" spans="1:8" x14ac:dyDescent="0.3">
      <c r="A56" s="17" t="str">
        <f t="shared" si="1"/>
        <v>WoS_55</v>
      </c>
      <c r="B56" t="s">
        <v>481</v>
      </c>
      <c r="C56" t="s">
        <v>381</v>
      </c>
      <c r="E56" t="s">
        <v>596</v>
      </c>
      <c r="F56">
        <v>2021</v>
      </c>
      <c r="G56">
        <v>1</v>
      </c>
      <c r="H56" t="str">
        <f>HYPERLINK("http://dx.doi.org/10.1109/ICPR48806.2021.9412262","http://dx.doi.org/10.1109/ICPR48806.2021.9412262")</f>
        <v>http://dx.doi.org/10.1109/ICPR48806.2021.9412262</v>
      </c>
    </row>
    <row r="57" spans="1:8" x14ac:dyDescent="0.3">
      <c r="A57" s="17" t="str">
        <f t="shared" si="1"/>
        <v>WoS_56</v>
      </c>
      <c r="B57" t="s">
        <v>482</v>
      </c>
      <c r="C57" t="s">
        <v>382</v>
      </c>
      <c r="E57" t="s">
        <v>597</v>
      </c>
      <c r="F57">
        <v>2020</v>
      </c>
      <c r="G57">
        <v>1</v>
      </c>
      <c r="H57" t="s">
        <v>29</v>
      </c>
    </row>
    <row r="58" spans="1:8" x14ac:dyDescent="0.3">
      <c r="A58" s="17" t="str">
        <f t="shared" si="1"/>
        <v>WoS_57</v>
      </c>
      <c r="B58" t="s">
        <v>483</v>
      </c>
      <c r="C58" t="s">
        <v>383</v>
      </c>
      <c r="E58" t="s">
        <v>598</v>
      </c>
      <c r="F58">
        <v>2023</v>
      </c>
      <c r="G58">
        <v>0</v>
      </c>
      <c r="H58" t="s">
        <v>29</v>
      </c>
    </row>
    <row r="59" spans="1:8" x14ac:dyDescent="0.3">
      <c r="A59" s="17" t="str">
        <f t="shared" si="1"/>
        <v>WoS_58</v>
      </c>
      <c r="B59" t="s">
        <v>484</v>
      </c>
      <c r="C59" t="s">
        <v>377</v>
      </c>
      <c r="E59" t="s">
        <v>599</v>
      </c>
      <c r="F59">
        <v>2021</v>
      </c>
      <c r="G59">
        <v>1</v>
      </c>
      <c r="H59" t="str">
        <f>HYPERLINK("http://dx.doi.org/10.1007/978-3-030-85082-1_6","http://dx.doi.org/10.1007/978-3-030-85082-1_6")</f>
        <v>http://dx.doi.org/10.1007/978-3-030-85082-1_6</v>
      </c>
    </row>
    <row r="60" spans="1:8" x14ac:dyDescent="0.3">
      <c r="A60" s="17" t="str">
        <f t="shared" si="1"/>
        <v>WoS_59</v>
      </c>
      <c r="B60" t="s">
        <v>485</v>
      </c>
      <c r="C60" t="s">
        <v>384</v>
      </c>
      <c r="E60" t="s">
        <v>600</v>
      </c>
      <c r="F60">
        <v>2022</v>
      </c>
      <c r="G60">
        <v>5</v>
      </c>
      <c r="H60" t="str">
        <f>HYPERLINK("http://dx.doi.org/10.1109/LRA.2022.3152974","http://dx.doi.org/10.1109/LRA.2022.3152974")</f>
        <v>http://dx.doi.org/10.1109/LRA.2022.3152974</v>
      </c>
    </row>
    <row r="61" spans="1:8" x14ac:dyDescent="0.3">
      <c r="A61" s="17" t="str">
        <f t="shared" si="1"/>
        <v>WoS_60</v>
      </c>
      <c r="B61" t="s">
        <v>487</v>
      </c>
      <c r="C61" t="s">
        <v>385</v>
      </c>
      <c r="E61" t="s">
        <v>601</v>
      </c>
      <c r="F61">
        <v>2023</v>
      </c>
      <c r="G61">
        <v>1</v>
      </c>
      <c r="H61" t="str">
        <f>HYPERLINK("http://dx.doi.org/10.1109/JSTARS.2023.3308037","http://dx.doi.org/10.1109/JSTARS.2023.3308037")</f>
        <v>http://dx.doi.org/10.1109/JSTARS.2023.3308037</v>
      </c>
    </row>
    <row r="62" spans="1:8" x14ac:dyDescent="0.3">
      <c r="A62" s="17" t="str">
        <f t="shared" si="1"/>
        <v>WoS_61</v>
      </c>
      <c r="B62" t="s">
        <v>488</v>
      </c>
      <c r="C62" t="s">
        <v>386</v>
      </c>
      <c r="E62" t="s">
        <v>602</v>
      </c>
      <c r="F62">
        <v>2023</v>
      </c>
      <c r="G62">
        <v>18</v>
      </c>
      <c r="H62" t="str">
        <f>HYPERLINK("http://dx.doi.org/10.1785/0120220182","http://dx.doi.org/10.1785/0120220182")</f>
        <v>http://dx.doi.org/10.1785/0120220182</v>
      </c>
    </row>
    <row r="63" spans="1:8" x14ac:dyDescent="0.3">
      <c r="A63" s="17" t="str">
        <f t="shared" si="1"/>
        <v>WoS_62</v>
      </c>
      <c r="B63" t="s">
        <v>489</v>
      </c>
      <c r="C63" t="s">
        <v>387</v>
      </c>
      <c r="E63" t="s">
        <v>603</v>
      </c>
      <c r="F63">
        <v>2022</v>
      </c>
      <c r="G63">
        <v>5</v>
      </c>
      <c r="H63" t="str">
        <f>HYPERLINK("http://dx.doi.org/10.1016/j.compeleceng.2022.107700","http://dx.doi.org/10.1016/j.compeleceng.2022.107700")</f>
        <v>http://dx.doi.org/10.1016/j.compeleceng.2022.107700</v>
      </c>
    </row>
    <row r="64" spans="1:8" x14ac:dyDescent="0.3">
      <c r="A64" s="17" t="str">
        <f t="shared" si="1"/>
        <v>WoS_63</v>
      </c>
      <c r="B64" t="s">
        <v>490</v>
      </c>
      <c r="C64" t="s">
        <v>388</v>
      </c>
      <c r="E64" t="s">
        <v>604</v>
      </c>
      <c r="F64">
        <v>2021</v>
      </c>
      <c r="G64">
        <v>12</v>
      </c>
      <c r="H64" t="str">
        <f>HYPERLINK("http://dx.doi.org/10.1007/s10489-020-01926-7","http://dx.doi.org/10.1007/s10489-020-01926-7")</f>
        <v>http://dx.doi.org/10.1007/s10489-020-01926-7</v>
      </c>
    </row>
    <row r="65" spans="1:8" x14ac:dyDescent="0.3">
      <c r="A65" s="17" t="str">
        <f t="shared" si="1"/>
        <v>WoS_64</v>
      </c>
      <c r="B65" t="s">
        <v>22</v>
      </c>
      <c r="C65" t="s">
        <v>13</v>
      </c>
      <c r="E65" t="s">
        <v>35</v>
      </c>
      <c r="F65">
        <v>2022</v>
      </c>
      <c r="G65">
        <v>4</v>
      </c>
      <c r="H65" t="str">
        <f>HYPERLINK("http://dx.doi.org/10.1016/j.chaos.2022.112802","http://dx.doi.org/10.1016/j.chaos.2022.112802")</f>
        <v>http://dx.doi.org/10.1016/j.chaos.2022.112802</v>
      </c>
    </row>
    <row r="66" spans="1:8" x14ac:dyDescent="0.3">
      <c r="A66" s="17" t="str">
        <f t="shared" ref="A66:A97" si="2">"WoS_" &amp; ROW()-1</f>
        <v>WoS_65</v>
      </c>
      <c r="B66" t="s">
        <v>491</v>
      </c>
      <c r="C66" t="s">
        <v>389</v>
      </c>
      <c r="E66" t="s">
        <v>605</v>
      </c>
      <c r="F66">
        <v>2023</v>
      </c>
      <c r="G66">
        <v>1</v>
      </c>
      <c r="H66" t="str">
        <f>HYPERLINK("http://dx.doi.org/10.1093/bioinformatics/btad496","http://dx.doi.org/10.1093/bioinformatics/btad496")</f>
        <v>http://dx.doi.org/10.1093/bioinformatics/btad496</v>
      </c>
    </row>
    <row r="67" spans="1:8" x14ac:dyDescent="0.3">
      <c r="A67" s="17" t="str">
        <f t="shared" si="2"/>
        <v>WoS_66</v>
      </c>
      <c r="B67" t="s">
        <v>492</v>
      </c>
      <c r="C67" t="s">
        <v>390</v>
      </c>
      <c r="E67" t="s">
        <v>606</v>
      </c>
      <c r="F67">
        <v>2024</v>
      </c>
      <c r="G67">
        <v>0</v>
      </c>
      <c r="H67" t="str">
        <f>HYPERLINK("http://dx.doi.org/10.1021/acsami.4c07851","http://dx.doi.org/10.1021/acsami.4c07851")</f>
        <v>http://dx.doi.org/10.1021/acsami.4c07851</v>
      </c>
    </row>
    <row r="68" spans="1:8" x14ac:dyDescent="0.3">
      <c r="A68" s="17" t="str">
        <f t="shared" si="2"/>
        <v>WoS_67</v>
      </c>
      <c r="B68" t="s">
        <v>493</v>
      </c>
      <c r="C68" t="s">
        <v>391</v>
      </c>
      <c r="E68" t="s">
        <v>607</v>
      </c>
      <c r="F68">
        <v>2022</v>
      </c>
      <c r="G68">
        <v>0</v>
      </c>
      <c r="H68" t="str">
        <f>HYPERLINK("http://dx.doi.org/10.1049/ipr2.12518","http://dx.doi.org/10.1049/ipr2.12518")</f>
        <v>http://dx.doi.org/10.1049/ipr2.12518</v>
      </c>
    </row>
    <row r="69" spans="1:8" x14ac:dyDescent="0.3">
      <c r="A69" s="17" t="str">
        <f t="shared" si="2"/>
        <v>WoS_68</v>
      </c>
      <c r="B69" t="s">
        <v>494</v>
      </c>
      <c r="C69" t="s">
        <v>392</v>
      </c>
      <c r="E69" t="s">
        <v>608</v>
      </c>
      <c r="F69">
        <v>2021</v>
      </c>
      <c r="G69">
        <v>26</v>
      </c>
      <c r="H69" t="s">
        <v>29</v>
      </c>
    </row>
    <row r="70" spans="1:8" x14ac:dyDescent="0.3">
      <c r="A70" s="17" t="str">
        <f t="shared" si="2"/>
        <v>WoS_69</v>
      </c>
      <c r="B70" t="s">
        <v>433</v>
      </c>
      <c r="C70" t="s">
        <v>333</v>
      </c>
      <c r="E70" t="s">
        <v>548</v>
      </c>
      <c r="F70">
        <v>2022</v>
      </c>
      <c r="G70">
        <v>18</v>
      </c>
      <c r="H70" t="str">
        <f>HYPERLINK("http://dx.doi.org/10.1021/acsomega.2c04649","http://dx.doi.org/10.1021/acsomega.2c04649")</f>
        <v>http://dx.doi.org/10.1021/acsomega.2c04649</v>
      </c>
    </row>
    <row r="71" spans="1:8" x14ac:dyDescent="0.3">
      <c r="A71" s="17" t="str">
        <f t="shared" si="2"/>
        <v>WoS_70</v>
      </c>
      <c r="B71" t="s">
        <v>497</v>
      </c>
      <c r="C71" t="s">
        <v>393</v>
      </c>
      <c r="E71" t="s">
        <v>609</v>
      </c>
      <c r="F71">
        <v>2022</v>
      </c>
      <c r="G71">
        <v>2</v>
      </c>
      <c r="H71" t="str">
        <f>HYPERLINK("http://dx.doi.org/10.1016/j.jbi.2022.104219","http://dx.doi.org/10.1016/j.jbi.2022.104219")</f>
        <v>http://dx.doi.org/10.1016/j.jbi.2022.104219</v>
      </c>
    </row>
    <row r="72" spans="1:8" x14ac:dyDescent="0.3">
      <c r="A72" s="17" t="str">
        <f t="shared" si="2"/>
        <v>WoS_71</v>
      </c>
      <c r="B72" t="s">
        <v>498</v>
      </c>
      <c r="C72" t="s">
        <v>394</v>
      </c>
      <c r="E72" t="s">
        <v>610</v>
      </c>
      <c r="F72">
        <v>2021</v>
      </c>
      <c r="G72">
        <v>6</v>
      </c>
      <c r="H72" t="str">
        <f>HYPERLINK("http://dx.doi.org/10.1016/j.chemosphere.2020.129232","http://dx.doi.org/10.1016/j.chemosphere.2020.129232")</f>
        <v>http://dx.doi.org/10.1016/j.chemosphere.2020.129232</v>
      </c>
    </row>
    <row r="73" spans="1:8" x14ac:dyDescent="0.3">
      <c r="A73" s="17" t="str">
        <f t="shared" si="2"/>
        <v>WoS_72</v>
      </c>
      <c r="B73" t="s">
        <v>499</v>
      </c>
      <c r="C73" t="s">
        <v>395</v>
      </c>
      <c r="E73" t="s">
        <v>611</v>
      </c>
      <c r="F73">
        <v>2022</v>
      </c>
      <c r="G73">
        <v>5</v>
      </c>
      <c r="H73" t="str">
        <f>HYPERLINK("http://dx.doi.org/10.1016/j.neucom.2022.06.087","http://dx.doi.org/10.1016/j.neucom.2022.06.087")</f>
        <v>http://dx.doi.org/10.1016/j.neucom.2022.06.087</v>
      </c>
    </row>
    <row r="74" spans="1:8" x14ac:dyDescent="0.3">
      <c r="A74" s="17" t="str">
        <f t="shared" si="2"/>
        <v>WoS_73</v>
      </c>
      <c r="B74" t="s">
        <v>500</v>
      </c>
      <c r="C74" t="s">
        <v>396</v>
      </c>
      <c r="E74" t="s">
        <v>612</v>
      </c>
      <c r="F74">
        <v>2020</v>
      </c>
      <c r="G74">
        <v>15</v>
      </c>
      <c r="H74" t="str">
        <f>HYPERLINK("http://dx.doi.org/10.1016/j.csda.2019.106825","http://dx.doi.org/10.1016/j.csda.2019.106825")</f>
        <v>http://dx.doi.org/10.1016/j.csda.2019.106825</v>
      </c>
    </row>
    <row r="75" spans="1:8" x14ac:dyDescent="0.3">
      <c r="A75" s="17" t="str">
        <f t="shared" si="2"/>
        <v>WoS_74</v>
      </c>
      <c r="B75" t="s">
        <v>501</v>
      </c>
      <c r="C75" t="s">
        <v>397</v>
      </c>
      <c r="E75" t="s">
        <v>613</v>
      </c>
      <c r="F75">
        <v>2020</v>
      </c>
      <c r="G75">
        <v>11</v>
      </c>
      <c r="H75" t="s">
        <v>29</v>
      </c>
    </row>
    <row r="76" spans="1:8" x14ac:dyDescent="0.3">
      <c r="A76" s="17" t="str">
        <f t="shared" si="2"/>
        <v>WoS_75</v>
      </c>
      <c r="B76" t="s">
        <v>502</v>
      </c>
      <c r="C76" t="s">
        <v>398</v>
      </c>
      <c r="E76" t="s">
        <v>614</v>
      </c>
      <c r="F76">
        <v>2023</v>
      </c>
      <c r="G76">
        <v>1</v>
      </c>
      <c r="H76" t="str">
        <f>HYPERLINK("http://dx.doi.org/10.3390/en16041970","http://dx.doi.org/10.3390/en16041970")</f>
        <v>http://dx.doi.org/10.3390/en16041970</v>
      </c>
    </row>
    <row r="77" spans="1:8" x14ac:dyDescent="0.3">
      <c r="A77" s="17" t="str">
        <f t="shared" si="2"/>
        <v>WoS_76</v>
      </c>
      <c r="B77" t="s">
        <v>503</v>
      </c>
      <c r="C77" t="s">
        <v>399</v>
      </c>
      <c r="E77" t="s">
        <v>615</v>
      </c>
      <c r="F77">
        <v>2020</v>
      </c>
      <c r="G77">
        <v>14</v>
      </c>
      <c r="H77" t="str">
        <f>HYPERLINK("http://dx.doi.org/10.1109/GLOBECOM42002.2020.9322220","http://dx.doi.org/10.1109/GLOBECOM42002.2020.9322220")</f>
        <v>http://dx.doi.org/10.1109/GLOBECOM42002.2020.9322220</v>
      </c>
    </row>
    <row r="78" spans="1:8" x14ac:dyDescent="0.3">
      <c r="A78" s="17" t="str">
        <f t="shared" si="2"/>
        <v>WoS_77</v>
      </c>
      <c r="B78" t="s">
        <v>504</v>
      </c>
      <c r="C78" t="s">
        <v>400</v>
      </c>
      <c r="E78" t="s">
        <v>616</v>
      </c>
      <c r="F78">
        <v>2020</v>
      </c>
      <c r="G78">
        <v>29</v>
      </c>
      <c r="H78" t="str">
        <f>HYPERLINK("http://dx.doi.org/10.1016/j.neucom.2020.02.081","http://dx.doi.org/10.1016/j.neucom.2020.02.081")</f>
        <v>http://dx.doi.org/10.1016/j.neucom.2020.02.081</v>
      </c>
    </row>
    <row r="79" spans="1:8" x14ac:dyDescent="0.3">
      <c r="A79" s="17" t="str">
        <f t="shared" si="2"/>
        <v>WoS_78</v>
      </c>
      <c r="B79" t="s">
        <v>505</v>
      </c>
      <c r="C79" t="s">
        <v>401</v>
      </c>
      <c r="E79" t="s">
        <v>617</v>
      </c>
      <c r="F79">
        <v>2023</v>
      </c>
      <c r="G79">
        <v>15</v>
      </c>
      <c r="H79" t="str">
        <f>HYPERLINK("http://dx.doi.org/10.1016/j.ress.2023.109341","http://dx.doi.org/10.1016/j.ress.2023.109341")</f>
        <v>http://dx.doi.org/10.1016/j.ress.2023.109341</v>
      </c>
    </row>
    <row r="80" spans="1:8" x14ac:dyDescent="0.3">
      <c r="A80" s="17" t="str">
        <f t="shared" si="2"/>
        <v>WoS_79</v>
      </c>
      <c r="B80" t="s">
        <v>506</v>
      </c>
      <c r="C80" t="s">
        <v>402</v>
      </c>
      <c r="E80" t="s">
        <v>618</v>
      </c>
      <c r="F80">
        <v>2024</v>
      </c>
      <c r="G80">
        <v>0</v>
      </c>
      <c r="H80" t="str">
        <f>HYPERLINK("http://dx.doi.org/10.3390/ijgi13070245","http://dx.doi.org/10.3390/ijgi13070245")</f>
        <v>http://dx.doi.org/10.3390/ijgi13070245</v>
      </c>
    </row>
    <row r="81" spans="1:8" x14ac:dyDescent="0.3">
      <c r="A81" s="17" t="str">
        <f t="shared" si="2"/>
        <v>WoS_80</v>
      </c>
      <c r="B81" t="s">
        <v>507</v>
      </c>
      <c r="C81" t="s">
        <v>403</v>
      </c>
      <c r="E81" t="s">
        <v>619</v>
      </c>
      <c r="F81">
        <v>2022</v>
      </c>
      <c r="G81">
        <v>1</v>
      </c>
      <c r="H81" t="str">
        <f>HYPERLINK("http://dx.doi.org/10.1109/PerCom53586.2022.9762395","http://dx.doi.org/10.1109/PerCom53586.2022.9762395")</f>
        <v>http://dx.doi.org/10.1109/PerCom53586.2022.9762395</v>
      </c>
    </row>
    <row r="82" spans="1:8" x14ac:dyDescent="0.3">
      <c r="A82" s="17" t="str">
        <f t="shared" si="2"/>
        <v>WoS_81</v>
      </c>
      <c r="B82" t="s">
        <v>508</v>
      </c>
      <c r="C82" t="s">
        <v>404</v>
      </c>
      <c r="E82" t="s">
        <v>620</v>
      </c>
      <c r="F82">
        <v>2023</v>
      </c>
      <c r="G82">
        <v>4</v>
      </c>
      <c r="H82" t="str">
        <f>HYPERLINK("http://dx.doi.org/10.1038/s41746-023-00822-x","http://dx.doi.org/10.1038/s41746-023-00822-x")</f>
        <v>http://dx.doi.org/10.1038/s41746-023-00822-x</v>
      </c>
    </row>
    <row r="83" spans="1:8" x14ac:dyDescent="0.3">
      <c r="A83" s="17" t="str">
        <f t="shared" si="2"/>
        <v>WoS_82</v>
      </c>
      <c r="B83" t="s">
        <v>509</v>
      </c>
      <c r="C83" t="s">
        <v>405</v>
      </c>
      <c r="E83" t="s">
        <v>621</v>
      </c>
      <c r="F83">
        <v>2023</v>
      </c>
      <c r="G83">
        <v>1</v>
      </c>
      <c r="H83" t="str">
        <f>HYPERLINK("http://dx.doi.org/10.1109/LRA.2023.3268013","http://dx.doi.org/10.1109/LRA.2023.3268013")</f>
        <v>http://dx.doi.org/10.1109/LRA.2023.3268013</v>
      </c>
    </row>
    <row r="84" spans="1:8" x14ac:dyDescent="0.3">
      <c r="A84" s="17" t="str">
        <f t="shared" si="2"/>
        <v>WoS_83</v>
      </c>
      <c r="B84" t="s">
        <v>510</v>
      </c>
      <c r="C84" t="s">
        <v>406</v>
      </c>
      <c r="E84" t="s">
        <v>622</v>
      </c>
      <c r="F84">
        <v>2022</v>
      </c>
      <c r="G84">
        <v>0</v>
      </c>
      <c r="H84" t="str">
        <f>HYPERLINK("http://dx.doi.org/10.1109/TNNLS.2022.3202151","http://dx.doi.org/10.1109/TNNLS.2022.3202151")</f>
        <v>http://dx.doi.org/10.1109/TNNLS.2022.3202151</v>
      </c>
    </row>
    <row r="85" spans="1:8" x14ac:dyDescent="0.3">
      <c r="A85" s="17" t="str">
        <f t="shared" si="2"/>
        <v>WoS_84</v>
      </c>
      <c r="B85" t="s">
        <v>511</v>
      </c>
      <c r="C85" t="s">
        <v>407</v>
      </c>
      <c r="E85" t="s">
        <v>623</v>
      </c>
      <c r="F85">
        <v>2020</v>
      </c>
      <c r="G85">
        <v>18</v>
      </c>
      <c r="H85" t="s">
        <v>29</v>
      </c>
    </row>
    <row r="86" spans="1:8" x14ac:dyDescent="0.3">
      <c r="A86" s="17" t="str">
        <f t="shared" si="2"/>
        <v>WoS_85</v>
      </c>
      <c r="B86" t="s">
        <v>512</v>
      </c>
      <c r="C86" t="s">
        <v>408</v>
      </c>
      <c r="E86" t="s">
        <v>624</v>
      </c>
      <c r="F86">
        <v>2021</v>
      </c>
      <c r="G86">
        <v>4</v>
      </c>
      <c r="H86" t="str">
        <f>HYPERLINK("http://dx.doi.org/10.1109/ICRC53822.2021.00019","http://dx.doi.org/10.1109/ICRC53822.2021.00019")</f>
        <v>http://dx.doi.org/10.1109/ICRC53822.2021.00019</v>
      </c>
    </row>
    <row r="87" spans="1:8" x14ac:dyDescent="0.3">
      <c r="A87" s="17" t="str">
        <f t="shared" si="2"/>
        <v>WoS_86</v>
      </c>
      <c r="B87" t="s">
        <v>513</v>
      </c>
      <c r="C87" t="s">
        <v>409</v>
      </c>
      <c r="E87" t="s">
        <v>625</v>
      </c>
      <c r="F87">
        <v>2023</v>
      </c>
      <c r="G87">
        <v>0</v>
      </c>
      <c r="H87" t="str">
        <f>HYPERLINK("http://dx.doi.org/10.1007/978-3-031-44521-7_5","http://dx.doi.org/10.1007/978-3-031-44521-7_5")</f>
        <v>http://dx.doi.org/10.1007/978-3-031-44521-7_5</v>
      </c>
    </row>
    <row r="88" spans="1:8" x14ac:dyDescent="0.3">
      <c r="A88" s="17" t="str">
        <f t="shared" si="2"/>
        <v>WoS_87</v>
      </c>
      <c r="B88" t="s">
        <v>24</v>
      </c>
      <c r="C88" t="s">
        <v>14</v>
      </c>
      <c r="E88" t="s">
        <v>36</v>
      </c>
      <c r="F88">
        <v>2023</v>
      </c>
      <c r="G88">
        <v>2</v>
      </c>
      <c r="H88" t="str">
        <f>HYPERLINK("http://dx.doi.org/10.1109/TPAMI.2022.3140886","http://dx.doi.org/10.1109/TPAMI.2022.3140886")</f>
        <v>http://dx.doi.org/10.1109/TPAMI.2022.3140886</v>
      </c>
    </row>
    <row r="89" spans="1:8" x14ac:dyDescent="0.3">
      <c r="A89" s="17" t="str">
        <f t="shared" si="2"/>
        <v>WoS_88</v>
      </c>
      <c r="B89" t="s">
        <v>514</v>
      </c>
      <c r="C89" t="s">
        <v>410</v>
      </c>
      <c r="E89" t="s">
        <v>626</v>
      </c>
      <c r="F89">
        <v>2023</v>
      </c>
      <c r="G89">
        <v>6</v>
      </c>
      <c r="H89" t="str">
        <f>HYPERLINK("http://dx.doi.org/10.1109/TNNLS.2022.3159671","http://dx.doi.org/10.1109/TNNLS.2022.3159671")</f>
        <v>http://dx.doi.org/10.1109/TNNLS.2022.3159671</v>
      </c>
    </row>
    <row r="90" spans="1:8" x14ac:dyDescent="0.3">
      <c r="A90" s="17" t="str">
        <f t="shared" si="2"/>
        <v>WoS_89</v>
      </c>
      <c r="B90" t="s">
        <v>517</v>
      </c>
      <c r="C90" t="s">
        <v>413</v>
      </c>
      <c r="E90" t="s">
        <v>629</v>
      </c>
      <c r="F90">
        <v>2023</v>
      </c>
      <c r="G90">
        <v>0</v>
      </c>
      <c r="H90" t="str">
        <f>HYPERLINK("http://dx.doi.org/10.1142/S021951942340095X","http://dx.doi.org/10.1142/S021951942340095X")</f>
        <v>http://dx.doi.org/10.1142/S021951942340095X</v>
      </c>
    </row>
    <row r="91" spans="1:8" x14ac:dyDescent="0.3">
      <c r="A91" s="17" t="str">
        <f t="shared" si="2"/>
        <v>WoS_90</v>
      </c>
      <c r="B91" t="s">
        <v>515</v>
      </c>
      <c r="C91" t="s">
        <v>411</v>
      </c>
      <c r="E91" t="s">
        <v>627</v>
      </c>
      <c r="F91">
        <v>2024</v>
      </c>
      <c r="G91">
        <v>0</v>
      </c>
      <c r="H91" t="str">
        <f>HYPERLINK("http://dx.doi.org/10.1109/TBDATA.2023.3346715","http://dx.doi.org/10.1109/TBDATA.2023.3346715")</f>
        <v>http://dx.doi.org/10.1109/TBDATA.2023.3346715</v>
      </c>
    </row>
    <row r="92" spans="1:8" x14ac:dyDescent="0.3">
      <c r="A92" s="17" t="str">
        <f t="shared" si="2"/>
        <v>WoS_91</v>
      </c>
      <c r="B92" t="s">
        <v>516</v>
      </c>
      <c r="C92" t="s">
        <v>412</v>
      </c>
      <c r="E92" t="s">
        <v>628</v>
      </c>
      <c r="F92">
        <v>2020</v>
      </c>
      <c r="G92">
        <v>2</v>
      </c>
      <c r="H92" t="str">
        <f>HYPERLINK("http://dx.doi.org/10.1111/1365-2478.12969","http://dx.doi.org/10.1111/1365-2478.12969")</f>
        <v>http://dx.doi.org/10.1111/1365-2478.12969</v>
      </c>
    </row>
    <row r="93" spans="1:8" x14ac:dyDescent="0.3">
      <c r="A93" s="17" t="str">
        <f t="shared" si="2"/>
        <v>WoS_92</v>
      </c>
      <c r="B93" t="s">
        <v>518</v>
      </c>
      <c r="C93" t="s">
        <v>414</v>
      </c>
      <c r="E93" t="s">
        <v>630</v>
      </c>
      <c r="F93">
        <v>2020</v>
      </c>
      <c r="G93">
        <v>39</v>
      </c>
      <c r="H93" t="str">
        <f>HYPERLINK("http://dx.doi.org/10.1029/2020WR027251","http://dx.doi.org/10.1029/2020WR027251")</f>
        <v>http://dx.doi.org/10.1029/2020WR027251</v>
      </c>
    </row>
    <row r="94" spans="1:8" x14ac:dyDescent="0.3">
      <c r="A94" s="17" t="str">
        <f t="shared" si="2"/>
        <v>WoS_93</v>
      </c>
      <c r="B94" t="s">
        <v>519</v>
      </c>
      <c r="C94" t="s">
        <v>415</v>
      </c>
      <c r="E94" t="s">
        <v>631</v>
      </c>
      <c r="F94">
        <v>2022</v>
      </c>
      <c r="G94">
        <v>6</v>
      </c>
      <c r="H94" t="str">
        <f>HYPERLINK("http://dx.doi.org/10.1109/TIFS.2022.3184263","http://dx.doi.org/10.1109/TIFS.2022.3184263")</f>
        <v>http://dx.doi.org/10.1109/TIFS.2022.3184263</v>
      </c>
    </row>
    <row r="95" spans="1:8" x14ac:dyDescent="0.3">
      <c r="A95" s="17" t="str">
        <f t="shared" si="2"/>
        <v>WoS_94</v>
      </c>
      <c r="B95" t="s">
        <v>520</v>
      </c>
      <c r="C95" t="s">
        <v>416</v>
      </c>
      <c r="E95" t="s">
        <v>632</v>
      </c>
      <c r="F95">
        <v>2022</v>
      </c>
      <c r="G95">
        <v>8</v>
      </c>
      <c r="H95" t="str">
        <f>HYPERLINK("http://dx.doi.org/10.1002/mrm.29265","http://dx.doi.org/10.1002/mrm.29265")</f>
        <v>http://dx.doi.org/10.1002/mrm.29265</v>
      </c>
    </row>
    <row r="96" spans="1:8" x14ac:dyDescent="0.3">
      <c r="A96" s="17" t="str">
        <f t="shared" si="2"/>
        <v>WoS_95</v>
      </c>
      <c r="B96" t="s">
        <v>522</v>
      </c>
      <c r="C96" t="s">
        <v>418</v>
      </c>
      <c r="E96" t="s">
        <v>634</v>
      </c>
      <c r="F96">
        <v>2021</v>
      </c>
      <c r="G96">
        <v>1</v>
      </c>
      <c r="H96" t="str">
        <f>HYPERLINK("http://dx.doi.org/10.1007/s10288-020-00445-y","http://dx.doi.org/10.1007/s10288-020-00445-y")</f>
        <v>http://dx.doi.org/10.1007/s10288-020-00445-y</v>
      </c>
    </row>
    <row r="97" spans="1:8" x14ac:dyDescent="0.3">
      <c r="A97" s="17" t="str">
        <f t="shared" si="2"/>
        <v>WoS_96</v>
      </c>
      <c r="B97" t="s">
        <v>523</v>
      </c>
      <c r="C97" t="s">
        <v>419</v>
      </c>
      <c r="E97" t="s">
        <v>635</v>
      </c>
      <c r="F97">
        <v>2020</v>
      </c>
      <c r="G97">
        <v>52</v>
      </c>
      <c r="H97" t="str">
        <f>HYPERLINK("http://dx.doi.org/10.1109/JCN.2020.000019","http://dx.doi.org/10.1109/JCN.2020.000019")</f>
        <v>http://dx.doi.org/10.1109/JCN.2020.000019</v>
      </c>
    </row>
    <row r="98" spans="1:8" x14ac:dyDescent="0.3">
      <c r="A98" s="17" t="str">
        <f t="shared" ref="A98:A110" si="3">"WoS_" &amp; ROW()-1</f>
        <v>WoS_97</v>
      </c>
      <c r="B98" t="s">
        <v>524</v>
      </c>
      <c r="C98" t="s">
        <v>420</v>
      </c>
      <c r="E98" t="s">
        <v>636</v>
      </c>
      <c r="F98">
        <v>2024</v>
      </c>
      <c r="G98">
        <v>0</v>
      </c>
      <c r="H98" t="str">
        <f>HYPERLINK("http://dx.doi.org/10.1109/SMARTNETS61466.2024.10577645","http://dx.doi.org/10.1109/SMARTNETS61466.2024.10577645")</f>
        <v>http://dx.doi.org/10.1109/SMARTNETS61466.2024.10577645</v>
      </c>
    </row>
    <row r="99" spans="1:8" x14ac:dyDescent="0.3">
      <c r="A99" s="17" t="str">
        <f t="shared" si="3"/>
        <v>WoS_98</v>
      </c>
      <c r="B99" t="s">
        <v>525</v>
      </c>
      <c r="C99" t="s">
        <v>421</v>
      </c>
      <c r="E99" t="s">
        <v>637</v>
      </c>
      <c r="F99">
        <v>2024</v>
      </c>
      <c r="G99">
        <v>0</v>
      </c>
      <c r="H99" t="str">
        <f>HYPERLINK("http://dx.doi.org/10.1109/IoTDI61053.2024.00012","http://dx.doi.org/10.1109/IoTDI61053.2024.00012")</f>
        <v>http://dx.doi.org/10.1109/IoTDI61053.2024.00012</v>
      </c>
    </row>
    <row r="100" spans="1:8" x14ac:dyDescent="0.3">
      <c r="A100" s="17" t="str">
        <f t="shared" si="3"/>
        <v>WoS_99</v>
      </c>
      <c r="B100" t="s">
        <v>526</v>
      </c>
      <c r="C100" t="s">
        <v>422</v>
      </c>
      <c r="E100" t="s">
        <v>638</v>
      </c>
      <c r="F100">
        <v>2020</v>
      </c>
      <c r="G100">
        <v>2</v>
      </c>
      <c r="H100" t="str">
        <f>HYPERLINK("http://dx.doi.org/10.1109/SIBGRAPI51738.2020.00043","http://dx.doi.org/10.1109/SIBGRAPI51738.2020.00043")</f>
        <v>http://dx.doi.org/10.1109/SIBGRAPI51738.2020.00043</v>
      </c>
    </row>
    <row r="101" spans="1:8" x14ac:dyDescent="0.3">
      <c r="A101" s="17" t="str">
        <f t="shared" si="3"/>
        <v>WoS_100</v>
      </c>
      <c r="B101" t="s">
        <v>21</v>
      </c>
      <c r="C101" t="s">
        <v>12</v>
      </c>
      <c r="E101" t="s">
        <v>34</v>
      </c>
      <c r="F101">
        <v>2020</v>
      </c>
      <c r="G101">
        <v>16</v>
      </c>
      <c r="H101" t="str">
        <f>HYPERLINK("http://dx.doi.org/10.1016/j.isprsjprs.2020.08.023","http://dx.doi.org/10.1016/j.isprsjprs.2020.08.023")</f>
        <v>http://dx.doi.org/10.1016/j.isprsjprs.2020.08.023</v>
      </c>
    </row>
    <row r="102" spans="1:8" x14ac:dyDescent="0.3">
      <c r="A102" s="17" t="str">
        <f t="shared" si="3"/>
        <v>WoS_101</v>
      </c>
      <c r="B102" t="s">
        <v>527</v>
      </c>
      <c r="C102" t="s">
        <v>423</v>
      </c>
      <c r="E102" t="s">
        <v>639</v>
      </c>
      <c r="F102">
        <v>2022</v>
      </c>
      <c r="G102">
        <v>7</v>
      </c>
      <c r="H102" t="str">
        <f>HYPERLINK("http://dx.doi.org/10.1109/TVCG.2021.3107749","http://dx.doi.org/10.1109/TVCG.2021.3107749")</f>
        <v>http://dx.doi.org/10.1109/TVCG.2021.3107749</v>
      </c>
    </row>
    <row r="103" spans="1:8" x14ac:dyDescent="0.3">
      <c r="A103" s="17" t="str">
        <f t="shared" si="3"/>
        <v>WoS_102</v>
      </c>
      <c r="B103" t="s">
        <v>528</v>
      </c>
      <c r="C103" t="s">
        <v>424</v>
      </c>
      <c r="E103" t="s">
        <v>640</v>
      </c>
      <c r="F103">
        <v>2023</v>
      </c>
      <c r="G103">
        <v>3</v>
      </c>
      <c r="H103" t="str">
        <f>HYPERLINK("http://dx.doi.org/10.1061/JPSEA2.PSENG-1358","http://dx.doi.org/10.1061/JPSEA2.PSENG-1358")</f>
        <v>http://dx.doi.org/10.1061/JPSEA2.PSENG-1358</v>
      </c>
    </row>
    <row r="104" spans="1:8" x14ac:dyDescent="0.3">
      <c r="A104" s="17" t="str">
        <f t="shared" si="3"/>
        <v>WoS_103</v>
      </c>
      <c r="B104" t="s">
        <v>26</v>
      </c>
      <c r="C104" t="s">
        <v>15</v>
      </c>
      <c r="E104" t="s">
        <v>37</v>
      </c>
      <c r="F104">
        <v>2021</v>
      </c>
      <c r="G104">
        <v>10</v>
      </c>
      <c r="H104" t="str">
        <f>HYPERLINK("http://dx.doi.org/10.1145/3448016.3452803","http://dx.doi.org/10.1145/3448016.3452803")</f>
        <v>http://dx.doi.org/10.1145/3448016.3452803</v>
      </c>
    </row>
    <row r="105" spans="1:8" x14ac:dyDescent="0.3">
      <c r="A105" s="17" t="str">
        <f t="shared" si="3"/>
        <v>WoS_104</v>
      </c>
      <c r="B105" t="s">
        <v>529</v>
      </c>
      <c r="C105" t="s">
        <v>425</v>
      </c>
      <c r="E105" t="s">
        <v>641</v>
      </c>
      <c r="F105">
        <v>2022</v>
      </c>
      <c r="G105">
        <v>1</v>
      </c>
      <c r="H105" t="str">
        <f>HYPERLINK("http://dx.doi.org/10.1080/10618600.2022.2060238","http://dx.doi.org/10.1080/10618600.2022.2060238")</f>
        <v>http://dx.doi.org/10.1080/10618600.2022.2060238</v>
      </c>
    </row>
    <row r="106" spans="1:8" x14ac:dyDescent="0.3">
      <c r="A106" s="17" t="str">
        <f t="shared" si="3"/>
        <v>WoS_105</v>
      </c>
      <c r="B106" t="s">
        <v>530</v>
      </c>
      <c r="C106" t="s">
        <v>426</v>
      </c>
      <c r="E106" t="s">
        <v>642</v>
      </c>
      <c r="F106">
        <v>2023</v>
      </c>
      <c r="G106">
        <v>1</v>
      </c>
      <c r="H106" t="s">
        <v>29</v>
      </c>
    </row>
    <row r="107" spans="1:8" x14ac:dyDescent="0.3">
      <c r="A107" s="17" t="str">
        <f t="shared" si="3"/>
        <v>WoS_106</v>
      </c>
      <c r="B107" t="s">
        <v>531</v>
      </c>
      <c r="C107" t="s">
        <v>427</v>
      </c>
      <c r="E107" t="s">
        <v>643</v>
      </c>
      <c r="F107">
        <v>2023</v>
      </c>
      <c r="G107">
        <v>2</v>
      </c>
      <c r="H107" t="str">
        <f>HYPERLINK("http://dx.doi.org/10.1109/MNET.130.2200413","http://dx.doi.org/10.1109/MNET.130.2200413")</f>
        <v>http://dx.doi.org/10.1109/MNET.130.2200413</v>
      </c>
    </row>
    <row r="108" spans="1:8" x14ac:dyDescent="0.3">
      <c r="A108" s="17" t="str">
        <f t="shared" si="3"/>
        <v>WoS_107</v>
      </c>
      <c r="B108" t="s">
        <v>532</v>
      </c>
      <c r="C108" t="s">
        <v>428</v>
      </c>
      <c r="E108" t="s">
        <v>644</v>
      </c>
      <c r="F108">
        <v>2021</v>
      </c>
      <c r="G108">
        <v>3</v>
      </c>
      <c r="H108" t="str">
        <f>HYPERLINK("http://dx.doi.org/10.1109/TIFS.2020.3016827","http://dx.doi.org/10.1109/TIFS.2020.3016827")</f>
        <v>http://dx.doi.org/10.1109/TIFS.2020.3016827</v>
      </c>
    </row>
    <row r="109" spans="1:8" x14ac:dyDescent="0.3">
      <c r="A109" s="17" t="str">
        <f t="shared" si="3"/>
        <v>WoS_108</v>
      </c>
      <c r="B109" t="s">
        <v>533</v>
      </c>
      <c r="C109" t="s">
        <v>429</v>
      </c>
      <c r="E109" t="s">
        <v>645</v>
      </c>
      <c r="F109">
        <v>2023</v>
      </c>
      <c r="G109">
        <v>2</v>
      </c>
      <c r="H109" t="str">
        <f>HYPERLINK("http://dx.doi.org/10.1186/s12859-023-05501-y","http://dx.doi.org/10.1186/s12859-023-05501-y")</f>
        <v>http://dx.doi.org/10.1186/s12859-023-05501-y</v>
      </c>
    </row>
    <row r="110" spans="1:8" x14ac:dyDescent="0.3">
      <c r="A110" s="17" t="str">
        <f t="shared" si="3"/>
        <v>WoS_109</v>
      </c>
      <c r="B110" t="s">
        <v>534</v>
      </c>
      <c r="C110" t="s">
        <v>430</v>
      </c>
      <c r="E110" t="s">
        <v>646</v>
      </c>
      <c r="F110">
        <v>2024</v>
      </c>
      <c r="G110">
        <v>0</v>
      </c>
      <c r="H110" t="str">
        <f>HYPERLINK("http://dx.doi.org/10.1029/2024JB029471","http://dx.doi.org/10.1029/2024JB029471")</f>
        <v>http://dx.doi.org/10.1029/2024JB029471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202B5-5610-43FD-91BA-5058325698B9}">
  <dimension ref="A1:H11"/>
  <sheetViews>
    <sheetView workbookViewId="0">
      <selection activeCell="A10" sqref="A10:H11"/>
    </sheetView>
  </sheetViews>
  <sheetFormatPr defaultRowHeight="14.4" x14ac:dyDescent="0.3"/>
  <cols>
    <col min="1" max="1" width="11.109375" customWidth="1"/>
    <col min="2" max="2" width="12.33203125" customWidth="1"/>
    <col min="3" max="3" width="9.5546875" customWidth="1"/>
    <col min="4" max="4" width="17.44140625" customWidth="1"/>
    <col min="5" max="5" width="9.88671875" customWidth="1"/>
    <col min="6" max="6" width="16.44140625" customWidth="1"/>
    <col min="7" max="7" width="15" customWidth="1"/>
    <col min="8" max="8" width="28" customWidth="1"/>
  </cols>
  <sheetData>
    <row r="1" spans="1:8" x14ac:dyDescent="0.3">
      <c r="A1" s="31" t="s">
        <v>40</v>
      </c>
      <c r="B1" s="32" t="s">
        <v>16</v>
      </c>
      <c r="C1" s="32" t="s">
        <v>8</v>
      </c>
      <c r="D1" s="32" t="s">
        <v>28</v>
      </c>
      <c r="E1" s="32" t="s">
        <v>30</v>
      </c>
      <c r="F1" s="33" t="s">
        <v>38</v>
      </c>
      <c r="G1" s="33" t="s">
        <v>39</v>
      </c>
      <c r="H1" s="34" t="s">
        <v>51</v>
      </c>
    </row>
    <row r="2" spans="1:8" x14ac:dyDescent="0.3">
      <c r="A2" t="str">
        <f t="shared" ref="A2:A7" si="0">"Forward_" &amp; ROW()-1</f>
        <v>Forward_1</v>
      </c>
      <c r="B2" s="37" t="s">
        <v>1981</v>
      </c>
      <c r="C2" t="s">
        <v>1982</v>
      </c>
      <c r="E2" t="s">
        <v>1984</v>
      </c>
      <c r="F2">
        <v>2019</v>
      </c>
      <c r="G2">
        <v>6</v>
      </c>
      <c r="H2" s="35" t="s">
        <v>1983</v>
      </c>
    </row>
    <row r="3" spans="1:8" x14ac:dyDescent="0.3">
      <c r="A3" t="str">
        <f t="shared" si="0"/>
        <v>Forward_2</v>
      </c>
      <c r="B3" s="37" t="s">
        <v>1986</v>
      </c>
      <c r="C3" t="s">
        <v>1987</v>
      </c>
      <c r="E3" t="s">
        <v>1989</v>
      </c>
      <c r="F3">
        <v>2000</v>
      </c>
      <c r="H3" s="35" t="s">
        <v>1988</v>
      </c>
    </row>
    <row r="4" spans="1:8" x14ac:dyDescent="0.3">
      <c r="A4" t="str">
        <f t="shared" si="0"/>
        <v>Forward_3</v>
      </c>
      <c r="B4" s="37" t="s">
        <v>1990</v>
      </c>
      <c r="C4" t="s">
        <v>1991</v>
      </c>
      <c r="E4" s="36" t="s">
        <v>1992</v>
      </c>
      <c r="F4">
        <v>2018</v>
      </c>
      <c r="H4" s="35" t="s">
        <v>1993</v>
      </c>
    </row>
    <row r="5" spans="1:8" x14ac:dyDescent="0.3">
      <c r="A5" t="str">
        <f t="shared" si="0"/>
        <v>Forward_4</v>
      </c>
      <c r="B5" s="37" t="s">
        <v>1995</v>
      </c>
      <c r="C5" t="s">
        <v>1994</v>
      </c>
      <c r="E5" t="s">
        <v>2002</v>
      </c>
      <c r="F5">
        <v>2016</v>
      </c>
      <c r="H5" s="35" t="s">
        <v>2003</v>
      </c>
    </row>
    <row r="6" spans="1:8" x14ac:dyDescent="0.3">
      <c r="A6" t="str">
        <f t="shared" si="0"/>
        <v>Forward_5</v>
      </c>
      <c r="B6" s="37" t="s">
        <v>1997</v>
      </c>
      <c r="C6" t="s">
        <v>1996</v>
      </c>
      <c r="E6" t="s">
        <v>2004</v>
      </c>
      <c r="F6">
        <v>2018</v>
      </c>
      <c r="H6" s="35" t="s">
        <v>2005</v>
      </c>
    </row>
    <row r="7" spans="1:8" x14ac:dyDescent="0.3">
      <c r="A7" t="str">
        <f t="shared" si="0"/>
        <v>Forward_6</v>
      </c>
      <c r="B7" s="37" t="s">
        <v>1999</v>
      </c>
      <c r="C7" t="s">
        <v>1998</v>
      </c>
      <c r="E7" t="s">
        <v>2006</v>
      </c>
      <c r="F7">
        <v>2021</v>
      </c>
      <c r="H7" s="35" t="s">
        <v>2007</v>
      </c>
    </row>
    <row r="8" spans="1:8" x14ac:dyDescent="0.3">
      <c r="A8" s="17" t="str">
        <f>"Forward_" &amp; ROW()-1</f>
        <v>Forward_7</v>
      </c>
      <c r="B8" t="s">
        <v>2015</v>
      </c>
      <c r="C8" t="s">
        <v>2016</v>
      </c>
      <c r="E8" t="s">
        <v>2017</v>
      </c>
      <c r="F8">
        <v>2020</v>
      </c>
      <c r="H8" s="35" t="s">
        <v>2018</v>
      </c>
    </row>
    <row r="9" spans="1:8" x14ac:dyDescent="0.3">
      <c r="A9" s="17" t="str">
        <f>"Forward_" &amp; ROW()-1</f>
        <v>Forward_8</v>
      </c>
      <c r="B9" t="s">
        <v>2019</v>
      </c>
      <c r="C9" t="s">
        <v>2020</v>
      </c>
      <c r="E9" t="s">
        <v>2021</v>
      </c>
      <c r="F9">
        <v>2019</v>
      </c>
      <c r="H9" s="35" t="s">
        <v>2022</v>
      </c>
    </row>
    <row r="10" spans="1:8" x14ac:dyDescent="0.3">
      <c r="A10" s="17" t="str">
        <f>"Forward_" &amp; ROW()-1</f>
        <v>Forward_9</v>
      </c>
      <c r="B10" t="s">
        <v>2023</v>
      </c>
      <c r="C10" t="s">
        <v>2026</v>
      </c>
      <c r="F10">
        <v>2004</v>
      </c>
      <c r="H10" s="35" t="s">
        <v>2025</v>
      </c>
    </row>
    <row r="11" spans="1:8" x14ac:dyDescent="0.3">
      <c r="A11" s="17" t="str">
        <f>"Forward_" &amp; ROW()-1</f>
        <v>Forward_10</v>
      </c>
      <c r="B11" t="s">
        <v>1986</v>
      </c>
      <c r="C11" t="s">
        <v>2027</v>
      </c>
      <c r="E11" t="s">
        <v>1989</v>
      </c>
      <c r="F11">
        <v>2000</v>
      </c>
      <c r="H11" s="35" t="s">
        <v>2024</v>
      </c>
    </row>
  </sheetData>
  <hyperlinks>
    <hyperlink ref="H2" r:id="rId1" xr:uid="{C8529C28-BA72-4F0D-B3C0-F13043195FAD}"/>
    <hyperlink ref="H3" r:id="rId2" xr:uid="{BAB582DB-2D98-4156-8C11-1CD3989CAA44}"/>
    <hyperlink ref="H4" r:id="rId3" xr:uid="{3DB3161A-6246-45B9-AEDD-02E47EFF09A3}"/>
    <hyperlink ref="H5" r:id="rId4" xr:uid="{BAEECE5F-E1A6-4A70-9874-54D3D31D7C04}"/>
    <hyperlink ref="H7" r:id="rId5" xr:uid="{56A3F210-E304-4823-BF9A-9EF0A9431A46}"/>
    <hyperlink ref="H8" r:id="rId6" xr:uid="{A6F0C77B-AB58-44F4-96C4-F484780845DE}"/>
    <hyperlink ref="H9" r:id="rId7" xr:uid="{4C8F1DA8-8157-4618-A786-DA2D9BB0633D}"/>
    <hyperlink ref="H11" r:id="rId8" xr:uid="{C20C34CA-F153-417C-9C7C-553E10D8B53B}"/>
    <hyperlink ref="H10" r:id="rId9" xr:uid="{3B2D53F5-7EB6-48C8-87AC-CA1755BACC0A}"/>
  </hyperlinks>
  <pageMargins left="0.7" right="0.7" top="0.75" bottom="0.75" header="0.3" footer="0.3"/>
  <tableParts count="1">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C2A8D3-65FB-42C0-8BD5-E60A37318B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Total</vt:lpstr>
      <vt:lpstr>ACM</vt:lpstr>
      <vt:lpstr>IEEE</vt:lpstr>
      <vt:lpstr>Scopus</vt:lpstr>
      <vt:lpstr>WoS</vt:lpstr>
      <vt:lpstr>Forward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dc:creator>
  <cp:lastModifiedBy>Karst, Fabian</cp:lastModifiedBy>
  <dcterms:created xsi:type="dcterms:W3CDTF">2015-06-05T18:19:34Z</dcterms:created>
  <dcterms:modified xsi:type="dcterms:W3CDTF">2024-11-05T04:28:00Z</dcterms:modified>
</cp:coreProperties>
</file>