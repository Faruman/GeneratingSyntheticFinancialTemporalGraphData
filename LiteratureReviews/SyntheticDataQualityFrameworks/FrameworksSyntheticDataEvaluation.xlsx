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https://universitaetstgallen-my.sharepoint.com/personal/fabian_karst_unisg_ch/Documents/03_PhD/Research/3_ArtificialDatabaseCombination/InformationSystemResearch2024/Appendix/LiteratureReviews/SyntheticDataQualityFrameworks/"/>
    </mc:Choice>
  </mc:AlternateContent>
  <xr:revisionPtr revIDLastSave="625" documentId="8_{23A40E8C-0892-F64E-955E-9E26E389C8DA}" xr6:coauthVersionLast="47" xr6:coauthVersionMax="47" xr10:uidLastSave="{839ED389-1D95-9C43-860A-29FCCD8ECBB8}"/>
  <bookViews>
    <workbookView xWindow="-4860" yWindow="-21000" windowWidth="38400" windowHeight="21000" xr2:uid="{00000000-000D-0000-FFFF-FFFF00000000}"/>
  </bookViews>
  <sheets>
    <sheet name="Framework (simplified)" sheetId="9" r:id="rId1"/>
    <sheet name="Framework" sheetId="8" r:id="rId2"/>
    <sheet name="Overview" sheetId="1" r:id="rId3"/>
    <sheet name="Total" sheetId="6" r:id="rId4"/>
    <sheet name="ACM" sheetId="2" r:id="rId5"/>
    <sheet name="IEEE" sheetId="3" r:id="rId6"/>
    <sheet name="Scopus" sheetId="4" r:id="rId7"/>
    <sheet name="WoS" sheetId="5" r:id="rId8"/>
    <sheet name="Forward"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8" i="9" l="1"/>
  <c r="AF7" i="9"/>
  <c r="AF6" i="9"/>
  <c r="AF5" i="9"/>
  <c r="AF4" i="9"/>
  <c r="AF3" i="9"/>
  <c r="AF2" i="9"/>
  <c r="AH6" i="8"/>
  <c r="AH10" i="8"/>
  <c r="AH9" i="8"/>
  <c r="AH8" i="8"/>
  <c r="AH7" i="8"/>
  <c r="AH4" i="8"/>
  <c r="AH2" i="8"/>
  <c r="H11" i="1" l="1"/>
  <c r="M83" i="6" l="1"/>
  <c r="M82" i="6"/>
  <c r="M81" i="6"/>
  <c r="M80" i="6"/>
  <c r="M78" i="6"/>
  <c r="M77" i="6"/>
  <c r="M76" i="6"/>
  <c r="M75" i="6"/>
  <c r="M74" i="6"/>
  <c r="H52" i="5"/>
  <c r="H51" i="5"/>
  <c r="H50" i="5"/>
  <c r="H49" i="5"/>
  <c r="H48" i="5"/>
  <c r="H47" i="5"/>
  <c r="H46" i="5"/>
  <c r="H45" i="5"/>
  <c r="H43" i="5"/>
  <c r="H42" i="5"/>
  <c r="H41" i="5"/>
  <c r="H40" i="5"/>
  <c r="H39" i="5"/>
  <c r="H38" i="5"/>
  <c r="H37" i="5"/>
  <c r="H36" i="5"/>
  <c r="H35" i="5"/>
  <c r="H34" i="5"/>
  <c r="H33" i="5"/>
  <c r="H32" i="5"/>
  <c r="H31" i="5"/>
  <c r="H30" i="5"/>
  <c r="H29" i="5"/>
  <c r="H28" i="5"/>
  <c r="H27" i="5"/>
  <c r="H26" i="5"/>
  <c r="H25" i="5"/>
  <c r="H24" i="5"/>
  <c r="H23" i="5"/>
  <c r="H22" i="5"/>
  <c r="H21" i="5"/>
  <c r="H20" i="5"/>
  <c r="H19" i="5"/>
  <c r="H17" i="5"/>
  <c r="H16" i="5"/>
  <c r="H14" i="5"/>
  <c r="H13" i="5"/>
  <c r="H12" i="5"/>
  <c r="H11" i="5"/>
  <c r="H10" i="5"/>
  <c r="H9" i="5"/>
  <c r="H8" i="5"/>
  <c r="H7" i="5"/>
  <c r="H6" i="5"/>
  <c r="H5" i="5"/>
  <c r="H4" i="5"/>
  <c r="H3" i="5"/>
  <c r="H2" i="5"/>
  <c r="F5" i="1"/>
  <c r="F11" i="1" l="1"/>
  <c r="F10" i="1" l="1"/>
  <c r="F8" i="1"/>
  <c r="F9" i="1"/>
  <c r="F7" i="1"/>
  <c r="F12" i="1" l="1"/>
  <c r="E6" i="1" l="1"/>
  <c r="D6" i="1"/>
  <c r="B6" i="1"/>
  <c r="C6" i="1"/>
  <c r="F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1350F7-13BA-4DE6-A674-31D0C0C12DD0}" keepAlive="1" name="Query - Scopus_SyntheticGraphDataGeneration" description="Connection to the 'Scopus_SyntheticGraphDataGeneration' query in the workbook." type="5" refreshedVersion="0" background="1" saveData="1">
    <dbPr connection="Provider=Microsoft.Mashup.OleDb.1;Data Source=$Workbook$;Location=Scopus_SyntheticGraphDataGeneration;Extended Properties=&quot;&quot;" command="SELECT * FROM [Scopus_SyntheticGraphDataGeneration]"/>
  </connection>
</connections>
</file>

<file path=xl/sharedStrings.xml><?xml version="1.0" encoding="utf-8"?>
<sst xmlns="http://schemas.openxmlformats.org/spreadsheetml/2006/main" count="1857" uniqueCount="895">
  <si>
    <t>Search String</t>
  </si>
  <si>
    <t>ACM</t>
  </si>
  <si>
    <t>IEEE</t>
  </si>
  <si>
    <t>Scopus</t>
  </si>
  <si>
    <t>Web of Science</t>
  </si>
  <si>
    <t>Hits per Database</t>
  </si>
  <si>
    <t>Searched Content: Title / Abstract / Author Keywords</t>
  </si>
  <si>
    <t xml:space="preserve">Date Range: 2020 - </t>
  </si>
  <si>
    <t>Authors</t>
  </si>
  <si>
    <t>Article Title</t>
  </si>
  <si>
    <t>Author Keywords</t>
  </si>
  <si>
    <t/>
  </si>
  <si>
    <t>Abstract</t>
  </si>
  <si>
    <t>Publication Year</t>
  </si>
  <si>
    <t>Citation Count</t>
  </si>
  <si>
    <t>ID</t>
  </si>
  <si>
    <t>Link</t>
  </si>
  <si>
    <t>Temporal Graph Generative Models: An empirical study</t>
  </si>
  <si>
    <t>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 © 2024 Copyright held by the owner/author(s).</t>
  </si>
  <si>
    <t>Dynamic graphs; Evaluation framework; Synthetic data generation</t>
  </si>
  <si>
    <t>Total</t>
  </si>
  <si>
    <t>Unique</t>
  </si>
  <si>
    <t>Demystifying Graph Neural Network Explanations</t>
  </si>
  <si>
    <t>Graph neural networks (GNNs) are quickly becoming the standard approach for learning on graph structured data across several domains, but they lack transparency in their decision-making. Several perturbation-based approaches have been developed to provide insights into the decision making process of GNNs. As this is an early research area, the methods and data used to evaluate the generated explanations lack maturity. We explore these existing approaches and identify common pitfalls in three main areas: (1) synthetic data generation process, (2) evaluation metrics, and (3) the final presentation of the explanation. For this purpose, we perform an empirical study to explore these pitfalls along with their unintended consequences and propose remedies to mitigate their effects.</t>
  </si>
  <si>
    <t>Benchmarking of synthetic network data: Reviewing challenges and approaches</t>
  </si>
  <si>
    <t>Fake It Till You Recognize It: Quality Assessment for Human Action Generative Models</t>
  </si>
  <si>
    <t>Valid</t>
  </si>
  <si>
    <t>Filter: Title</t>
  </si>
  <si>
    <t xml:space="preserve">Filter: Abstract </t>
  </si>
  <si>
    <t>Filter: Full Text</t>
  </si>
  <si>
    <t>Forward Search</t>
  </si>
  <si>
    <t>Title Filter</t>
  </si>
  <si>
    <t>Filter Criteria</t>
  </si>
  <si>
    <t>Abstract Filter</t>
  </si>
  <si>
    <t>Full-Text Filter</t>
  </si>
  <si>
    <t>Full-Text explanation</t>
  </si>
  <si>
    <t>Deep learning on graphs has become a popular research topic with many applications. However, past work has concentrated on learning graph embedding tasks, which is in contrast with advances in generative models for images and text. Is it possible to transfer this progress to the domain of graphs? We propose to sidestep hurdles associated with linearization of such discrete structures by having a decoder output a probabilistic fully-connected graph of a predefined maximum size directly at once. Our method is formulated as a variational autoencoder. We evaluate on the challenging task of molecule generation.</t>
  </si>
  <si>
    <t>Metrics Cateory</t>
  </si>
  <si>
    <t>Description</t>
  </si>
  <si>
    <t>Metrics Sub-category</t>
  </si>
  <si>
    <t>StengerEtAl2024</t>
  </si>
  <si>
    <t>BuduEtAl2023</t>
  </si>
  <si>
    <t>QuianEtAl2023</t>
  </si>
  <si>
    <t>SattarovEtAl2023</t>
  </si>
  <si>
    <t>WolfEtAl2024</t>
  </si>
  <si>
    <t>SimonovskyEtAl2018</t>
  </si>
  <si>
    <t>HernandezEtAl2025</t>
  </si>
  <si>
    <t>XuEtAl2021</t>
  </si>
  <si>
    <t>LiuEtAl2024</t>
  </si>
  <si>
    <t>EllikerEtAl2024</t>
  </si>
  <si>
    <t>SivaroopanEtAl 2023</t>
  </si>
  <si>
    <t>PandeyEtAl2023</t>
  </si>
  <si>
    <t>LampEtAl2023</t>
  </si>
  <si>
    <t>YuAndKarray2022</t>
  </si>
  <si>
    <t>Result</t>
  </si>
  <si>
    <t>Efficiency</t>
  </si>
  <si>
    <t>Time invested or resources required to train the generative model.</t>
  </si>
  <si>
    <t>computational</t>
  </si>
  <si>
    <t>x 
(computational efficiency)</t>
  </si>
  <si>
    <t>data</t>
  </si>
  <si>
    <t>x 
(data efficiency)</t>
  </si>
  <si>
    <t>Fidelity</t>
  </si>
  <si>
    <t>The term is used with varying connotations. Some refer to the quality of the individual samples, others refer to being faithfully preserving patterns observed in the original data before or a synthetic dataset which is drawn from a similar distribution to the real one.</t>
  </si>
  <si>
    <t>within</t>
  </si>
  <si>
    <t>x</t>
  </si>
  <si>
    <t>x 
(row-wise fidelity)</t>
  </si>
  <si>
    <t>x
(multiple-attribute)</t>
  </si>
  <si>
    <t>x 
(Accurate)</t>
  </si>
  <si>
    <t>x
(statistical &amp; temporal consistency)</t>
  </si>
  <si>
    <t>x
(population statistics)</t>
  </si>
  <si>
    <t>between</t>
  </si>
  <si>
    <t>x 
(representativeness)</t>
  </si>
  <si>
    <t>x 
(column-wise fidelity)</t>
  </si>
  <si>
    <t>x 
(single-attribute)</t>
  </si>
  <si>
    <t>x 
(distribution comparison)</t>
  </si>
  <si>
    <t>x 
(distributional comparison)</t>
  </si>
  <si>
    <t>Generalization</t>
  </si>
  <si>
    <t>Generative models to demonstrate the ability to generate data beyond the training data itself or noisy versions thereof. It describes the opposite of memorization or overfitting to the training data.</t>
  </si>
  <si>
    <t>-</t>
  </si>
  <si>
    <t>x 
(synthesis)</t>
  </si>
  <si>
    <t>x 
(memorization)</t>
  </si>
  <si>
    <t>x 
(novel/unique)</t>
  </si>
  <si>
    <t>x 
(diversity)</t>
  </si>
  <si>
    <t>x 
(breadth)</t>
  </si>
  <si>
    <t>Privacy</t>
  </si>
  <si>
    <t>This category aims to reduce or even eliminate the risk of disclosure of sensitive information in the dataset.</t>
  </si>
  <si>
    <t>x 
(confidentiality)</t>
  </si>
  <si>
    <t>Utility</t>
  </si>
  <si>
    <t>This category relates the quality of synthetic data to its usefulness for a specific task, often the training of a machine learning model.</t>
  </si>
  <si>
    <t>x 
(application-based)</t>
  </si>
  <si>
    <t>x 
(usefullness)</t>
  </si>
  <si>
    <t>x 
(usability)</t>
  </si>
  <si>
    <t>Fairness</t>
  </si>
  <si>
    <t>This property reflects producing data objects from different groups at an equal rate to counter bias and unfairness in downstream machine learning tasks.</t>
  </si>
  <si>
    <t>x 
(absence of bias)</t>
  </si>
  <si>
    <t>Validity</t>
  </si>
  <si>
    <t>The data adheres to rules given by the domain the data was generated in.</t>
  </si>
  <si>
    <t>rule-based</t>
  </si>
  <si>
    <t>x 
(Rule-based Evaluation)</t>
  </si>
  <si>
    <t>x 
(Domain Knowledge Test)</t>
  </si>
  <si>
    <t>domain-expert</t>
  </si>
  <si>
    <t>x 
(Domain Expert Evaluation)</t>
  </si>
  <si>
    <t>( "Synthetic Data" OR "Artificial Data" ) AND ( "Evaluation Framework" OR "Quality Framework")</t>
  </si>
  <si>
    <t>- at least two metrics</t>
  </si>
  <si>
    <t>Efficient and privacy-preserved link prediction via condensed graphs</t>
  </si>
  <si>
    <t>Long, Y.; Xu, L.; Brintrup, A.</t>
  </si>
  <si>
    <t>Complex networks; Graph condensation; Graph privacy; Link prediction; Membership inference attack; Synthetic data</t>
  </si>
  <si>
    <t>Link prediction plays a vital role in uncovering hidden relationships within complex networks, enabling applications such as identifying potential customers and products. However, this task faces critical challenges, including growing concerns over data privacy and the substantial computational and storage costs associated with large-scale networks. Condensed graphs, which are significantly smaller yet retain essential structural information, have emerged as a promising solution for preserving data utility while enhancing privacy. Despite this potential, existing methods like HyDRO rely on random node selection strategies designed primarily for node classification, overlooking connectivity patterns crucial for effective link prediction. Moreover, these methods lack rigorous evaluations of privacy risks associated with nodes and links in the condensed graphs—an essential consideration for sensitive real-world networks, where privacy concerns far exceed those of public datasets such as citation graphs. To address these limitations, we introduce HyDRO+, a novel graph condensation method guided by algebraic Jaccard similarity. By leveraging local connectivity patterns, HyDRO+ generates structurally-aware condensed graphs that preserve link information more effectively. We further introduce a comprehensive evaluation framework that rigorously assesses both node- and link-level privacy leakage. Extensive experiments on four real-world networks demonstrate that HyDRO+ consistently outperforms state-of-the-art methods—and even the original networks—in balancing link prediction accuracy and privacy preservation. Notably, it achieves nearly 20× faster training and reduces storage requirements by a factor of 452 on the Computers dataset. This work represents the first attempt to use condensed graphs for privacy-preserving link prediction in real-world complex networks, offering a practical and scalable solution for secure information sharing in large-scale networks. The code is available at https://github.com/ifm-mag/HyDRO_PLUS. © 2025 The Authors</t>
  </si>
  <si>
    <t>https://www.scopus.com/inward/record.uri?eid=2-s2.0-105010701762&amp;partnerID=40&amp;md5=2e6364e3fc1ada34d286c1c49ffc1bc9</t>
  </si>
  <si>
    <t>XAI In Fraud Detection: A Causal Perspective</t>
  </si>
  <si>
    <t>van Veen, K.; Ahmed, F.; Van Keulen, M.</t>
  </si>
  <si>
    <t>Causal Discovery; CD-NOD; Explainable Artificial Intelligence (XAI); Fraud Detection; Machine Learning; SHAP; Trustworthy AI</t>
  </si>
  <si>
    <t>Fraud detection systems powered by machine learning (ML) often lack transparency, raising concerns about trustworthiness and interpretability. While Explainable AI (XAI) addresses these issues, many methods rely on correlation rather than causation, potentially overlooking true fraud patterns. This study integrates causal discovery with XAI to propose a novel evaluation framework for fraud detection, validated on synthetic and real-world datasets. Our pipeline combines ML models, SHAP-based explanations, and causal feature selection via CD-NOD. Results show that models trained on causally selected features achieve slightly higher XAI alignment on quantitative metrics compared to correlation-based methods, particularly on synthetic data. However, real-world data challenges such as anonymization has lead to limited causal interpretability. This work lays groundwork for trustworthy AI in high-stakes finance, highlighting the need for dynamic causal methods and improved causality-specific evaluation metrics. © The Author(s) 2026.</t>
  </si>
  <si>
    <t>https://www.scopus.com/inward/record.uri?eid=2-s2.0-105020240665&amp;partnerID=40&amp;md5=ba91ab46ef99c31e110592049a813e5e</t>
  </si>
  <si>
    <t>Evaluating high-speed railway intelligent construction business levels via ERT-TOPSIS and SSA-optimized BP with rigorous synthetic-data validation</t>
  </si>
  <si>
    <t>Xu, X.; Liu, Y.; Ou, G.</t>
  </si>
  <si>
    <t>Extreme random trees; High-speed railway; Intelligent construction; SSA-BP neural network; TSTR validation</t>
  </si>
  <si>
    <t>Intelligent construction has emerged as a critical pathway to enhance the quality and transformation of high-speed railway projects. However, existing evaluation approaches often focus on isolated technical aspects or static indicators, lacking a multidimensional, predictive, and interpretable model capable of comprehensively and objectively assessing intelligent construction business level. This study proposes a novel evaluation framework based on a SeqGAN-SSA-BP neural network to achieve continuous and objective assessment of intelligent construction business levels. A hierarchical indicator system is constructed across three dimensions: intelligent, construction, and other dimension. The Sparrow Search Algorithm (SSA) optimizes the weights and biases of the BP neural network, while an Extreme Random Tree (ERT)-weighted TOPSIS method is introduced to determine objective indicator weights. To mitigate data scarcity, 90 synthetic samples are generated from 10 expert evaluations using a Sequence Generative Adversarial Network (SeqGAN). The synthetic data's distributional consistency with real data is validated via t-SNE visualization and Maximum Mean Discrepancy (MMD) tests. SHapley Additive exPlanations (SHAP) analysis is employed to interpret feature importance and underlying mechanisms. The model is rigorously evaluated using a Training on Synthetic Data, Testing on Real Data (TSTR) approach with a hold-out real dataset. The results demonstrate that the proposed model significantly outperforms BP neural network, Random Forest, SVM, and XGBoost models, with MSE reduced by 2.346 × 10⁻³, 0.565 × 10⁻³, 1.535 × 10⁻³, and 2.671 × 10⁻³; RMSE reduced by 4.436 × 10⁻², 1.988 × 10⁻², 3.515 × 10⁻², and 4.759 × 10⁻²; MAE reduced by 3.788 × 10⁻², 1.734 × 10⁻², 2.962 × 10⁻², and 0.016 × 10⁻²; and R² increased by 0.312, 0.075, 0.204, and 0.356, respectively. © 2025 The Authors</t>
  </si>
  <si>
    <t>https://www.scopus.com/inward/record.uri?eid=2-s2.0-105018113501&amp;partnerID=40&amp;md5=a27e1c5dfdfc7e8e411be34bf94fc753</t>
  </si>
  <si>
    <t>Scorecard for synthetic medical data evaluation</t>
  </si>
  <si>
    <t>Zamzmi, G.; Subbaswamy, A.; Sizikova, E.; Margerrison, E.; Delfino, J.G.; Badano, A.</t>
  </si>
  <si>
    <t>Although the interest in synthetic medical data (SMD) for developing and testing artificial intelligence (AI) methods is growing, the absence of a comprehensive framework to evaluate the quality and applicability of SMD hinders its wider adoption. Here, we outline an evaluation framework designed to meet the unique requirements of medical applications. We also introduce SMD scorecard, a comprehensive report accompanying artificially generated datasets. This scorecard provides a quantitative assessment of SMD across seven criteria (7 Cs), complemented by a descriptive section that contains all relevant information about the dataset. The SMD scorecard provides a practical framework for evaluating and reporting the quality of synthetic data, which can benefit SMD developers and users. © This is a U.S. Government work and not under copyright protection in the US; foreign copyright protection may apply 2025.</t>
  </si>
  <si>
    <t>https://www.scopus.com/inward/record.uri?eid=2-s2.0-105011485278&amp;partnerID=40&amp;md5=16f43ad486615788681a180071234205</t>
  </si>
  <si>
    <t>A physics-informed train on synthetic and test on real method for evaluating large language model-generated safety-critical traffic scenarios</t>
  </si>
  <si>
    <t>Jia, M.; Cheng, Q.; Tao, C.; Hu, Y.; Hong, Q.; Cheng, W.; Liu, Z.</t>
  </si>
  <si>
    <t>Corner cases, which are rare and high-risk scenarios such as safety-critical behaviors in autonomous vehicle operations, present significant modeling challenges due to their low occurrence probability and limited data availability. Large language models (LLMs) offer new potential for synthesizing such scenarios, but existing evaluation metrics are inadequate because corner case data typically lack one-to-one mapping to real samples and have extremely limited instances. To address this, we propose a two-stage evaluation framework, that is, a physics-informed train on synthetic and test on real (PI-TSTR) framework. Using safety-critical car-following (CF) scenarios as an example, we design a prompting and interpolation strategy to guide LLMs in generating physically feasible synthetic follower trajectories from real leading vehicle inputs. We then evaluate the generated data by training several CF models, that is, extended S-shaped three-parameter (ES3) model, Gipps model, optimal velocity model (OVM), improved full velocity difference model (IFVDM), intelligent driver model (IDM), and testing their performances on real-world data. The CF models trained on LLM-generated trajectories show strong generalization to real scenarios, validating the quality of the synthetic data. This framework provides a physics-grounded approach for evaluating LLM-generated data in safety-critical, data-scarce domains. © 2025 The Author(s). Computer-Aided Civil and Infrastructure Engineering published by Wiley Periodicals LLC on behalf of Editor.</t>
  </si>
  <si>
    <t>https://www.scopus.com/inward/record.uri?eid=2-s2.0-105016488454&amp;partnerID=40&amp;md5=0b42faf97f3bf57f664b91a5e082967e</t>
  </si>
  <si>
    <t>Anti-Regulatory AI: How "AI Safety" is Leveraged Against Regulatory Oversight</t>
  </si>
  <si>
    <t>Yew, R.-J.; Judge, B.</t>
  </si>
  <si>
    <t>AI alignment; AI regulation; AI safety; avoision; fairness; legal avoidance; privacy; security</t>
  </si>
  <si>
    <t>AI companies increasingly develop and deploy privacy-enhancing technologies, bias-constraining measures, evaluation frameworks, and alignment techniques — framing them as addressing concerns related to data privacy, algorithmic fairness, and AI safety. This paper examines the ulterior function of these technologies as mechanisms of legal influence. First, we examine how encryption, federated learning, and synthetic data — presented as enhancing privacy and reducing bias — can operate as mechanisms of avoidance with existing regulations in attempts to place data operations outside the scope of traditional regulatory frameworks. Second, we investigate how emerging AI safety practices including open-source model releases, evaluations, and alignment techniques can be used as mechanisms of change that direct regulatory focus towards industry-controlled voluntary standards and self-governance. We term this phenomenon anti-regulatory AI — the deployment of ostensibly protective technologies that simultaneously shapes the terms of regulatory oversight. Our analysis additionally reveals how technologies’ anti-regulatory functions are enabled through framing that legitimizes their deployment while obscuring their use as regulatory workarounds. This paper closes with a discussion of policy implications that centers on the consideration of business incentives that drive AI development and the role of technical expertise in assessing whether these technologies fulfill their purported protections. © 2025 Copyright held by the owner/author(s). Publication rights licensed to ACM.</t>
  </si>
  <si>
    <t>https://www.scopus.com/inward/record.uri?eid=2-s2.0-105023654488&amp;partnerID=40&amp;md5=76f5d7b8a27d9843270de8336e4f7b97</t>
  </si>
  <si>
    <t>Towards a Biological Evaluation Framework for Oversampling (BEFO) gene expression data</t>
  </si>
  <si>
    <t>Fee, K.; Jain, S.; Murphy, R.G.; Jurek-Loughrey, A.</t>
  </si>
  <si>
    <t>Biological feasibility; Clinical reliability; Gene co-expression; Random forests; Sample importance; Synthetic data</t>
  </si>
  <si>
    <t>Machine learning (ML) techniques are progressively being used in biomedical research to improve diagnostic and prognostic accuracy when used in conjunction with a clinician as a decision support system. However, many datasets used in biomedical research often suffer from severe class imbalance due to small population sizes, which causes machine learning models to become biased to majority class samples. Current oversampling methods primarily focus on balancing datasets without adequately validating the biological relevance of synthetic data, risking the clinical applicability of downstream model predictions. To address these shortcomings, we propose the Biological Evaluation Framework for Oversampling (BEFO) designed to ensure that synthetic gene expression samples accurately reflect the biological patterns present in original datasets. This innovation not only mitigates bias but enhances the trustworthiness of predictive models in clinical scenarios. We have developed a ranking method for synthetic samples based on this and evaluated each sample’s inclusion based on its rank. This ranking method calculates the WGCNA gene co-expression clusters on the original dataset. Several random forests are constructed to assess the alignment of each synthetic sample to each cluster. Only synthetic samples more important than real samples are included in a study. The experimental results demonstrate that our proposed ML oversampling framework can improve the biological feasibility of oversampled datasets by an average of 11%, leading to improved classification performance by an average of 9% when compared against five state-of-the-art (SOTA) oversampling methods and ten classification algorithms across six real world gene expressions datasets. Thereby establishing a new standard for synthetic data evaluation in biomedical ML applications. © 2025 The Authors.</t>
  </si>
  <si>
    <t>https://www.scopus.com/inward/record.uri?eid=2-s2.0-105021663023&amp;partnerID=40&amp;md5=4048aa564249c0934b8dcb4e0da6ce86</t>
  </si>
  <si>
    <t>A comprehensive evaluation framework for synthetic medical tabular data generation</t>
  </si>
  <si>
    <t>Kurakova, A.; Homayouni, H.</t>
  </si>
  <si>
    <t>Evaluation framework; Machine learning; Performance metrics; Synthetic data generation; Tabular medical data</t>
  </si>
  <si>
    <t>Machine learning (ML) applications have enabled significant advancements in healthcare, such as predicting pandemics, personalizing treatments, and developing life-saving drugs. However, ML model training requires large datasets, which are difficult to obtain in healthcare due to privacy concerns. Synthetic data generation offers a promising solution by providing access to large-scale training data while protecting patient privacy. Our research focuses on tabular medical data, the predominant format for Electronic Health Records (EHRs), and introduces a comprehensive evaluation framework that assesses synthetic data in four critical dimensions: quality, privacy, usability, and computational complexity of the data generation process. The framework ensures that synthetic data maintains sufficient similarity to real data for ML applications while preserving patient confidentiality. To validate our approach, we applied six state-of-the-art (SOTA) generative models to generate synthetic medical datasets and evaluated them within our framework. In contrast to conventional approaches that focus primarily on statistical similarity, our framework provides a broader assessment that incorporates outlier detection, privacy risks, and domain-specific constraints. Our findings demonstrate that our framework can identify critical shortcomings in synthetic data generation models, such as the amplification of duplicate rows and the generation of out-of-range values, which are overlooked by traditional statistical evaluation methods. Our implementation of the framework is available at: https://github.com/akurakova/SDE_Framework. © 2025 Elsevier Inc.</t>
  </si>
  <si>
    <t>https://www.scopus.com/inward/record.uri?eid=2-s2.0-105020972864&amp;partnerID=40&amp;md5=1d902c76d674a2f5a91eda3fe2933cc9</t>
  </si>
  <si>
    <t>Learning Compositionality from Multifaceted Synthetic Data for Language-based Object Detection</t>
  </si>
  <si>
    <t>Park, K.; An, S.; Lee, Y.J.; Kim, D.</t>
  </si>
  <si>
    <t>Compositional Learning; Language-based Object Detection; Multimodal Synthetic Datasets; Transfer Learning</t>
  </si>
  <si>
    <t>Language-based object detection aims to locate target objects from complex language queries. However, current vision-language detectors often struggle to understand complex representations of visual objects (e.g., attributes, shapes, and relationships), especially under complex queries. In this paper, we first conduct a thorough analysis of current language-based detectors to identify their specific weaknesses in compositional understanding. To this end, we propose a novel comprehensive evaluation framework that automatically categorizes test cases by the type and complexity of compositionality, leveraging large language models (LLMs). This reveals that detectors show significant performance drops with increased complexity and consistent failures in specific types, such as spatial and numerical reasoning. To effectively address this, we propose a multifaceted synthetic data consisting of (1) generative model-based synthetic triplets that inherited compositional knowledge from large generative models (e.g., LLMs, diffusion models) in the form of triplets (i.e., image-text-box data); and (2) weakness-targeted synthetic descriptions designed to enhance understanding in vulnerable types like spatial and numeracy concepts. We further introduce a compositional contrastive learning method to better leverage the proposed synthetic data while mitigating the common drawbacks of synthetic data. Consequently, our models trained on proposed multifaceted synthetic data exhibit a significant performance boost in the Omnilabel benchmark by up to +7.1AP and the D3 benchmark by up to +8.4AP upon existing baselines. © The Author(s), under exclusive licence to Springer Science+Business Media, LLC, part of Springer Nature 2025.</t>
  </si>
  <si>
    <t>https://www.scopus.com/inward/record.uri?eid=2-s2.0-105013030461&amp;partnerID=40&amp;md5=ca65fd22b45b02858ca8be53c122990b</t>
  </si>
  <si>
    <t>Roles of Artificial Intelligence--Based Synthetic Data in Health Economics and Outcomes Research</t>
  </si>
  <si>
    <t>Lai, T.C.; Ngorsuraches, S.</t>
  </si>
  <si>
    <t>data privacy; generative artificial intelligence; privacy enhancing technology; synthetic data</t>
  </si>
  <si>
    <t>Objectives: We aim to raise awareness of potential applications of synthetic data within the health economics and outcomes research (HEOR) community. Methods: We provide a concise overview of synthetic data, including data generation and types. We then discuss 3 major data-associated challenges and how synthetic data may be used to address them. Finally, we discuss data utility, privacy protection, potential concerns of its applicability, and future research direction. Results: The use of synthetic data is an alternative privacy protection technique to enhance data availability, strengthen the robustness of findings for underrepresented populations, and alleviate data insufficiency issues in rare disease research. More studies are needed to explore synthetic data use and address data challenges in HEOR studies. Furthermore, the development of an evaluation framework is encouraged to better support the integration of synthetic data into the HEOR field. Conclusions: Synthetic data provide a unique opportunity to overcome data-related challenges in HEOR. © 2025</t>
  </si>
  <si>
    <t>https://www.scopus.com/inward/record.uri?eid=2-s2.0-105006942711&amp;partnerID=40&amp;md5=f8758f128a482497713e78e86b058328</t>
  </si>
  <si>
    <t>Counterfactual ensembles for interpretable churn prediction: from real-world to privacy-preserving synthetic data</t>
  </si>
  <si>
    <t>Tonati, S.; Di Vece, M.D.; Giannotti, F.; Pellungrini, R.</t>
  </si>
  <si>
    <t>Churn analysis; Counterfactual explanations; Explainable AI</t>
  </si>
  <si>
    <t>Counterfactual explanations identify minimal input changes needed to alter a machine learning model’s prediction, offering actionable insights in tasks like churn analysis. However, existing methods often produce counterfactuals that vary in quality, coherence, and plausibility, limiting their practical value. We propose an ensemble evaluation framework that integrates multiple generation techniques and ranks their outputs using a tunable scoring function balancing multiple relevant metrics. Our approach addresses two key deployment scenarios: (i) in-house churn analysis, where decision-makers can interactively adjust scoring weights for tailored, user-driven explanations; and (ii) outsourced churn prediction, where counterfactuals must be generated on synthetic data to preserve privacy while remaining representative of real cases. Experiments on benchmark churn datasets demonstrate that our ensemble approach improves the consistency, interpretability, and utility of counterfactuals across both real and synthetic settings, supporting more reliable and privacy-aware decision-making. © The Author(s) 2025.</t>
  </si>
  <si>
    <t>https://www.scopus.com/inward/record.uri?eid=2-s2.0-105016465516&amp;partnerID=40&amp;md5=2caec0677f1e2c615055e5ffb16b6c29</t>
  </si>
  <si>
    <t>Towards Fairness in Synthetic Healthcare Data: A Framework for the Evaluation of Synthetization Algorithms</t>
  </si>
  <si>
    <t>Warnecke, Y.; Kuhn, M.; Diederichs, F.; Brix, T.J.; Clever, L.; Bergmann, R.; Heider, D.; Storck, M.</t>
  </si>
  <si>
    <t>Algorithms; Artificial Intelligence; Data Quality; Delivery of Health Care; Health Equity; Humans; Medical Informatics</t>
  </si>
  <si>
    <t>Introduction: Synthetic data generation is a rapidly evolving field, with significant potential for improving data privacy. However, evaluating the performance of synthetic data generation methods, especially the tradeoff between fairness and utility of the generated data, remains a challenge. Methodology: In this work, we present our comprehensive framework, which evaluates fair synthetic data generation methods, benchmarking them against state-of-the-art synthesizers. Results: The proposed framework consists of selection, evaluation, and application components that assess fairness, utility, and resemblance in real-world scenarios. The framework was applied to state-of-the-art data synthesizers, including TabFairGAN, DECAF, TVAE, and CTGAN, using a publicly available medical dataset. Discussion: The results reveal the strengths and limitations of each synthesizer, including their bias mitigation strategies and trade-offs between fairness and utility, thereby showing the framework's effectiveness. The proposed framework offers valuable insights into the fairness-utility tradeoff and evaluation of synthetic data generation methods, with far-reaching implications for various applications in the medical domain and beyond. Conclusion: The findings demonstrate the importance of considering fairness in synthetic data generation and the need for fairness focused evaluation frameworks, highlighting the significance of continued research in this area. © 2025 The Authors.</t>
  </si>
  <si>
    <t>https://www.scopus.com/inward/record.uri?eid=2-s2.0-105015799808&amp;partnerID=40&amp;md5=8cf11953dd96e0c352807a505da540fc</t>
  </si>
  <si>
    <t>Advancing electrocardiogram synthesis: Analyzing key metrics for enhanced evaluation</t>
  </si>
  <si>
    <t>Wang, W.; Ma, J.; Wang, K.; Lin, Y.; Dong, S.; Li, X.; Luo, G.</t>
  </si>
  <si>
    <t>Cardiac disease diagnosis; Deep generative models; Evaluation metrics; Quality assessment; Synthetic ECG</t>
  </si>
  <si>
    <t>The development of large, high-quality ECG datasets is essential for advancing automated cardiac disease diagnosis. However, challenges such as limited access to data, small dataset sizes, and class imbalances persist. Deep generative models offer an effective solution by generating synthetic ECG data, which not only addresses data scarcity but also enhances data privacy. Evaluating the morphological and functional consistency between synthetic and real ECGs is crucial, highlighting the need for a consistent evaluation framework. This review systematically examines the various evaluation metrics used in current literature, including their calculation methods, frequency of application, and effectiveness. Through extensive experimental analysis, we critically evaluate the strengths, weaknesses, and contextual applicability of these metrics, providing a nuanced understanding of their performance in various scenarios. This in-depth examination not only elucidates the inherent limitations of current metrics but also identifies specific areas where improvements are needed. In response to these findings, we propose a comprehensive framework aimed at standardizing the quality assessment of synthetic ECGs, thereby addressing the existing gaps in evaluation methodologies. While deep generative models have substantially advanced the generation and refinement of ECG datasets, our work underscores the necessity of a systematic approach to ensure the reliability and fidelity of these synthetic data, thereby laying a strong foundation for future research and potential downstream tasks. © 2025</t>
  </si>
  <si>
    <t>https://www.scopus.com/inward/record.uri?eid=2-s2.0-105013658288&amp;partnerID=40&amp;md5=2901539138df48f6eabd47e3a62f1aa7</t>
  </si>
  <si>
    <t>The evolving threat landscape of botnets: Comprehensive analysis of detection techniques in the age of artificial intelligence</t>
  </si>
  <si>
    <t>Mahboubi, A.; Luong, K.; Aboutorab, H.; Bui, H.T.; Camtepe, S.; Ansari, K.; Barry, B.</t>
  </si>
  <si>
    <t>Adversarial evasion; AI driven botnet detection; Behavioral profiling; Encrypted command-and-control (C&amp;C); Flow-based detection; Graph-based detection techniques</t>
  </si>
  <si>
    <t>Botnets represent a significant and evolving cybersecurity threat, leveraging networks of compromised devices for various malicious activities, including data exfiltration (e.g., Truebot malware), credential theft, and distributed denial-of-service (DDoS) attacks. heir increasing sophistication includes advanced evasion techniques such as domain generation algorithms (DGAs), encrypted command-and-control (C&amp;C) channels, and peer-to-peer (P2P) architectures. These innovations pose substantial challenges to conventional detection systems. Existing surveys typically examine isolated detection methodologies or specific datasets, failing to address comprehensively the broader landscape, especially regarding adversarial manipulation of machine learning (ML) and artificial intelligence (AI) feature sets. To address this critical gap, this survey introduces the first systematic adversarial-aware analysis of botnet detection strategies. It specifically evaluates how adversaries exploit ML/AI feature manipulation, such as through noise injection and feature perturbation, to evade detection, a perspective that has not been quantitatively addressed in prior literature. A core contribution is our explicit benchmarking of detection model robustness across four quantitative metrics, faithfulness, monotonicity, sensitivity, and complexity, providing novel insights into the resilience of state-of-the-art models under adversarial conditions. Additionally, we highlight persistent practical challenges including limited dataset diversity and dependence on high-quality labeled data, and propose potential mitigation approaches such as synthetic data generation, federated and semi-supervised learning, and lightweight detection architectures tailored for resource-constrained IoT deployments. Finally, we outline key future research directions emphasizing standardized robustness evaluation frameworks, explainable AI to enhance interpretability and trust, and privacy-preserving collaborative data-sharing mechanisms. By integrating this adversarial-aware perspective with a comprehensive and practical evaluation framework, this work contributes to the field's understanding of botnet detection and supports the design of more robust and resilient cybersecurity solutions through insights relevant to both researchers and practitioners. © 2025 The Author(s)</t>
  </si>
  <si>
    <t>https://www.scopus.com/inward/record.uri?eid=2-s2.0-105013173895&amp;partnerID=40&amp;md5=44481465e827d0f1ada9dc4160c118d4</t>
  </si>
  <si>
    <t>FairCauseSyn: Towards Causally Fair LLM-augmented Synthetic Data Generation</t>
  </si>
  <si>
    <t>Nagesh, N.; Z.; Rahmani, A.M.</t>
  </si>
  <si>
    <t>Synthetic data generation creates data based on real-world data using generative models. In health applications, generating high-quality data while maintaining fairness for sensitive attributes is essential for equitable outcomes. Existing GAN-based and LLM-based methods focus on counterfactual fairness and are primarily applied in finance and legal domains. Causal fairness provides a more comprehensive evaluation framework by preserving causal structure, but current synthetic data generation methods do not address it in health settings. To fill this gap, we develop the first LLM-augmented synthetic data generation method to enhance causal fairness using real-world tabular health data. Our generated data deviates by less than 10% from real data on causal fairness metrics. When trained on causally fair predictors, synthetic data reduces bias on the sensitive attribute by 70% compared to real data. This work improves access to fair synthetic data, supporting equitable health research and healthcare delivery.</t>
  </si>
  <si>
    <t>https://www.scopus.com/inward/record.uri?eid=2-s2.0-105023724912&amp;partnerID=40&amp;md5=6bf7f7aa6dcc414f64f9b4538f50d46d</t>
  </si>
  <si>
    <t>Generative AI for synthetic data across multiple medical modalities: A systematic review of recent developments and challenges</t>
  </si>
  <si>
    <t>Ibrahim, M.; Al Khalil, Y.A.; Amirrajab, S.; Sun, C.; Breeuwer, M.; Pluim, J.; Elen, B.; Ertaylan, G.; Dumontier, M.</t>
  </si>
  <si>
    <t>EHR and physiological signals; Generative models; Medical data; Medical imaging; Medical text; Synthetic data</t>
  </si>
  <si>
    <t>This paper presents a comprehensive systematic review of generative models (GANs, VAEs, DMs, and LLMs) used to synthesize various medical data types, including imaging (dermoscopic, mammographic, ultrasound, CT, MRI, and X-ray), text, time-series, and tabular data (EHR). Unlike previous narrowly focused reviews, our study encompasses a broad array of medical data modalities and explores various generative models. Our aim is to offer insights into their current and future applications in medical research, particularly in the context of synthesis applications, generation techniques, and evaluation methods, as well as providing a GitHub repository as a dynamic resource for ongoing collaboration and innovation. Our search strategy queries databases such as Scopus, PubMed, and ArXiv, focusing on recent works from January 2021 to November 2023, excluding reviews and perspectives. This period emphasizes recent advancements beyond GANs, which have been extensively covered in previous reviews. The survey also emphasizes the aspect of conditional generation, which is not focused on in similar work. Key contributions include a broad, multi-modality scope that identifies cross-modality insights and opportunities unavailable in single-modality surveys. While core generative techniques are transferable, we find that synthesis methods often lack sufficient integration of patient-specific context, clinical knowledge, and modality-specific requirements tailored to the unique characteristics of medical data. Conditional models leveraging textual conditioning and multimodal synthesis remain underexplored but offer promising directions for innovation. Our findings are structured around three themes: (1) Synthesis applications, highlighting clinically valid synthesis applications and significant gaps in using synthetic data beyond augmentation, such as for validation and evaluation; (2) Generation techniques, identifying gaps in personalization and cross-modality innovation; and (3) Evaluation methods, revealing the absence of standardized benchmarks, the need for large-scale validation, and the importance of privacy-aware, clinically relevant evaluation frameworks. These findings emphasize the need for benchmarking and comparative studies to promote openness and collaboration. © 2025 The Authors</t>
  </si>
  <si>
    <t>https://www.scopus.com/inward/record.uri?eid=2-s2.0-85218947300&amp;partnerID=40&amp;md5=b1ab6ed5207bea2542cd88a8767f3ee6</t>
  </si>
  <si>
    <t>Explainable evaluation of generative adversarial networks for wearables data augmentation</t>
  </si>
  <si>
    <t>Narteni, S.; Orani, V.; Ferrari, E.; Verda, D.; Cambiaso, E.; Mongelli, M.</t>
  </si>
  <si>
    <t>Data augmentation; Explainable artificial intelligence; Reliable artificial intelligence; Rule similarity</t>
  </si>
  <si>
    <t>Data augmentation represents an opportunity for Artificial Intelligence (AI) applications, as it aims at creating new synthetic data based on an existing baseline. In this paper, we present a new evaluation framework for Generative Adversarial Networks (GANs), a data augmentation technique, in multivariate data classification contexts. The goal is not limited to assessing the performance variations obtained through GANs, but also to inspect results with explainable AI (XAI) tools, understanding how GANs work and, finally, exploiting them to discover new knowledge. To this aim, we adopt the Logic Learning Machine (LLM) for performance assessment and rule extraction, and introduce a new measure of rule similarity to compare different artificial datasets. We apply the methodology on two case studies, activity recognition and physical fatigue detection, confirming that GANs can help in overcoming limitations of original datasets and lead to new discoveries. © 2025 The Authors</t>
  </si>
  <si>
    <t>https://www.scopus.com/inward/record.uri?eid=2-s2.0-85217450940&amp;partnerID=40&amp;md5=12bb88c84a26ac36f2322697159d5a70</t>
  </si>
  <si>
    <t>Preserving privacy in healthcare: A systematic review of deep learning approaches for synthetic data generation</t>
  </si>
  <si>
    <t>Liu, Y.; Acharya, U.R.; Tan, J.H.</t>
  </si>
  <si>
    <t>Deep learning; Generative Adversarial Networks (GANs); Healthcare data sharing; Privacy preservation; Synthetic data generation</t>
  </si>
  <si>
    <t>Background: Data sharing in healthcare is vital for advancing research and personalized medicine. However, the process is hindered by privacy, ethical, and legal challenges associated with patient data. Synthetic data generation emerges as a promising solution, replicating statistical properties of real data while enhancing privacy protection. Methods: This systematic review examines deep learning techniques for synthetic data generation in healthcare, focusing on their ability to maintain data utility and enhance privacy. Studies from Scopus, Web of Science, PubMed, and IEEE databases published between 2019 and 2023 were analyzed. Key methods explored include Generative Adversarial Networks (GANs), Variational Autoencoders (VAEs), and Diffusion Models. Evaluation metrics encompass data resemblance, utility, and privacy preservation, with special attention to privacy-enhancing methods like differential privacy and federated learning. Results: GANs and VAEs demonstrated robust capabilities in generating realistic synthetic data for tabular, signal, image, and multi-modal datasets. Privacy-preserving approaches such as differential privacy and adversarial training significantly reduced re-identification risks while maintaining data fidelity. However, challenges persist in preserving temporal correlations, reducing biases, and aligning with regulatory frameworks, particularly for longitudinal and high-dimensional data. Conclusion: Synthetic data generation holds significant potential for privacy-preserving data sharing in healthcare. Ongoing research is required to develop advanced algorithms and evaluation frameworks, ensuring synthetic data's quality and privacy. Collaboration between technologists and policymakers is essential to create comprehensive guidelines, fostering secure and effective data sharing in healthcare. © 2024 Elsevier B.V.</t>
  </si>
  <si>
    <t>https://www.scopus.com/inward/record.uri?eid=2-s2.0-85214220941&amp;partnerID=40&amp;md5=eda163daba1d7c6ba86436c324cfbb8a</t>
  </si>
  <si>
    <t>Transport-Related Synthetic Time Series: Developing and Applying a Quality Assessment Framework</t>
  </si>
  <si>
    <t>Gal-Tzur, A.</t>
  </si>
  <si>
    <t>GAN; performance indicators; synthetic data; transport-related time series</t>
  </si>
  <si>
    <t>Data scarcity and privacy concerns in various fields, including transportation, have fueled a growing interest in synthetic data generation. Synthetic datasets offer a practical solution to address data limitations, such as the underrepresentation of minority classes, while maintaining privacy when needed. Notably, recent studies have highlighted the potential of combining real and synthetic data to enhance the accuracy of demand predictions for shared transport services, thereby improving service quality and advancing sustainable transportation. This study introduces a systematic methodology for evaluating the quality of synthetic transport-related time series datasets. The framework incorporates multiple performance indicators addressing six aspects of quality: fidelity, distribution matching, diversity, coverage, and novelty. By combining distributional measures like Hellinger distance with time-series-specific metrics such as dynamic time warping and cosine similarity, the methodology ensures a comprehensive assessment. A clustering-based evaluation is also included to analyze the representation of distinct sub-groups within the data. The methodology was applied to two datasets: passenger counts on an intercity bus route and vehicle speeds along an urban road. While the synthetic speed dataset adequately captured the diversity and patterns of the real data, the passenger count dataset failed to represent key cluster-specific variations. These findings demonstrate the proposed methodology’s ability to identify both satisfactory and unsatisfactory synthetic datasets. Moreover, its sequential design enables the detection of gaps in deeper layers of similarity, going beyond basic distributional alignment. This work underscores the value of tailored evaluation frameworks for synthetic time series, advancing their utility in transportation research and practice. © 2025 by the author.</t>
  </si>
  <si>
    <t>https://www.scopus.com/inward/record.uri?eid=2-s2.0-85217770966&amp;partnerID=40&amp;md5=f03629a23a9e44974ac2fcae7f407f0e</t>
  </si>
  <si>
    <t>Augmentation and Evaluation of Geological Tabular Data: Geo-TabGAN Model and Its Applications</t>
  </si>
  <si>
    <t>Lv, P.; Chen, W.; Zou, X.</t>
  </si>
  <si>
    <t>Data augmentation; generative adversarial network (GAN) model; geoscience research; synthetic data evaluation; tabular data</t>
  </si>
  <si>
    <t>Data augmentation plays a crucial role in data-driven geoscience research by minimizing sampling costs and improving the generalization and predictive accuracy of models utilized in mineral exploration and oil and gas development. Although geoscience data are predominantly structured in tabular form, research focused on the augmentation of such structured data remains in its nascent stages. This study seeks to address two fundamental questions: 1) is it feasible to generate realistic synthetic data when only a limited amount of labeled data are available? and 2) what criteria can be established to evaluate synthetic data to ensure it contributes positively to model performance? To this end, we introduce the geological tabular data generative adversarial network (Geo-TabGAN) model and propose a comprehensive evaluation framework. Experimental results derived from core analysis data of the Bayan Obo deposit in Inner Mongolia indicate that the integration of synthetic data led to improvements exceeding 5% in the average accuracy, precision, recall, $F1$ score, and Matthews correlation coefficient (MCC) across three classifiers. This methodology significantly enhances the efficacy of big data analysis and predictive modeling within the geoscience domain. © 2025 IEEE.</t>
  </si>
  <si>
    <t>https://www.scopus.com/inward/record.uri?eid=2-s2.0-85219416403&amp;partnerID=40&amp;md5=033d02009c2bc4ba1947854659e83143</t>
  </si>
  <si>
    <t>Syntheval: a framework for detailed utility and privacy evaluation of tabular synthetic data: SynthEval: a framework for detailed..: A. D. Lautrup et al.</t>
  </si>
  <si>
    <t>Lautrup, A.D.; Hyrup, T.; Zimek, A.; Schneider-Kamp, P.</t>
  </si>
  <si>
    <t>Benchmark; Evaluation framework; Synthetic data; Tabular data</t>
  </si>
  <si>
    <t>With the growing demand for synthetic data to address contemporary issues in machine learning, such as data scarcity, data fairness, and data privacy, having robust tools for assessing the utility and potential privacy risks of such data becomes crucial. SynthEval, a novel open-source evaluation framework distinguishes itself from existing tools by treating categorical and numerical attributes with equal care, without assuming any special kind of preprocessing steps. This makes it applicable to virtually any synthetic dataset of tabular records. Our tool leverages statistical and machine learning techniques to comprehensively evaluate synthetic data fidelity and privacy-preserving integrity. SynthEval integrates a wide selection of metrics that can be used independently or in highly customisable benchmark configurations, and can easily be extended with additional metrics. In this paper, we describe SynthEval and illustrate its versatility with examples. The framework facilitates better benchmarking and more consistent comparisons of model capabilities. © The Author(s), under exclusive licence to Springer Science+Business Media LLC, part of Springer Nature 2024.</t>
  </si>
  <si>
    <t>https://www.scopus.com/inward/record.uri?eid=2-s2.0-85211364877&amp;partnerID=40&amp;md5=08b3431af00ce6b1635c343f6597356b</t>
  </si>
  <si>
    <t>Higher-order structure based node importance evaluation in directed networks</t>
  </si>
  <si>
    <t>Li, M.; Wang, Z.; Zeng, A.; Di, Z.</t>
  </si>
  <si>
    <t>Directed networks; Feedforward loops; Higher-order structures; Nodes importance</t>
  </si>
  <si>
    <t>Evaluating the significance of objects with possible relevant information is a crucial topic in information science. Due to the fact that objects related to each other can often be described using complex networks, this topic also forms a fundamental theme in network science. Most traditional methods for characterizing the importance of nodes in complex networks only utilize the binary relationships between node pairs, neglecting the influence brought by higher-order structures. Considering the specific interaction modes between local nodes in the network, this paper associates the higher-order structural characteristics of the network with the importance of the nodes. It constructs an evaluation framework for the importance of nodes in directed networks based on higher-order structures. Experimental analysis on both artificial data and scientific citation data from the APS dataset has validated the effectiveness of the proposed algorithms. Compared with PageRank and eigenvector centrality, the proposed algorithms demonstrated higher accuracy, revealing the role of higher-order structures in node importance evaluation. Finally, a robustness analysis of several algorithms indicated that the proposed algorithms exhibited good robustness. © 2024 Elsevier Ltd</t>
  </si>
  <si>
    <t>https://www.scopus.com/inward/record.uri?eid=2-s2.0-85207934261&amp;partnerID=40&amp;md5=24b4c4b646ed17fda5f96dc82bbb3844</t>
  </si>
  <si>
    <t>Generative Data-Driven Dynamic Deep Learning Classifier Selection for Hyperspectral Image Classification</t>
  </si>
  <si>
    <t>Lu, H.; Huang, X.; Chen, Y.</t>
  </si>
  <si>
    <t>Deep Learning; Dynamic Classifier Selection; Generative Models; Hyperspectral Image Classification</t>
  </si>
  <si>
    <t>Deep learning has emerged as a critical paradigm in hyperspectral image (HSI) classification, addressing the inherent challenges posed by high-dimensional data and limited labeled samples. However, traditional methods often struggle with dynamic adaptability and computational efficiency, particularly under diverse and complex data distributions. This study aims to address two key challenges: (1) how to dynamically select the most appropriate classifiers for high-dimensional and limited-label scenarios, and (2) how to optimize hyperparameter configurations to improve the generalization and accuracy of homogeneous classifiers. To address these limitations, this study proposes a dynamic deep learning classifier selection framework consisting of two key modules: the Generative-Based Dynamic Selection Module for Heterogeneous Classifiers (GDS-HDLC) and the Generative Configuration Selection Module for Homogeneous Classifiers (GCS-HDLC). GDS-HDLC leverages generative models to extend validation datasets, enabling robust classifier selection via a multi-source evaluation mechanism that integrates real and synthetic data. Meanwhile, GCS-HDLC optimizes hyperparameter configurations for homogeneous classifiers, enhancing generalization and classification accuracy. Specifically, the generative models simulate diverse data distributions, enriching the validation process with synthetic samples, while the multi-source evaluation framework balances real and generated data to improve performance. These methods are evaluated across multiple HSI datasets, demonstrating superior classification accuracy, efficiency, and adaptability compared to state-of-the-art methods. Notably, GDS-HDLC achieved an overall accuracy of 90.68% on the Botswana dataset, while GCS-HDLC attained 91.87%, surpassing baseline models. © 2008-2012 IEEE.</t>
  </si>
  <si>
    <t>https://www.scopus.com/inward/record.uri?eid=2-s2.0-105026066024&amp;partnerID=40&amp;md5=84c30a2bec6b5f84d66b663a36fdaf0f</t>
  </si>
  <si>
    <t>Preliminary Study on Conditional Data Generation for the Internet of Things</t>
  </si>
  <si>
    <t>Zhou, J.; Arakawa, Y.</t>
  </si>
  <si>
    <t>Conditional Data Generation; Internet of Things (IoT); Sensor Data; Synthetic Data; Time-series Data</t>
  </si>
  <si>
    <t>The effectiveness of Internet of Things (IoT) applications often relies on access to diverse and high-quality time-series sensor data. However, real-world data is often limited by noise, imbalance, and insufficient coverage of rare or extreme conditions. This paper presents a preliminary study on conditional generative modeling for synthesizing realistic and controllable IoT time-series data. We outline a verification methodology comparing three representative models-TimeVAE, Time-Transformer AAE, and GuidedDiffTime-under a unified evaluation framework using discriminative, predictive, and visualization-based metrics. Our aim is to explore the potential of conditional generation in capturing contextual dependencies while maintaining temporal dynamics. This work serves as a foundation for future development of robust and contextaware data generation frameworks to support IoT applications such as anomaly detection and system testing. © 2025 IPSJ.</t>
  </si>
  <si>
    <t>https://www.scopus.com/inward/record.uri?eid=2-s2.0-105025140014&amp;partnerID=40&amp;md5=b389593d86d19f91ae460b3f848ef163</t>
  </si>
  <si>
    <t>CUSTOM REGRESSION-BASED ARCHITECTURES FOR REAL-TIME TRAJECTORY PREDICTION USING SPATIOTEMPORAL DATA</t>
  </si>
  <si>
    <t>Kumar, V.S.P.; Abraham, S.; Thomas, S.; Augustine, S.</t>
  </si>
  <si>
    <t>Bidirectional LSTM (Bi-LSTM); Performance Evaluation Metrics; Real And Simulated Data; Regression Models; SMAPE; Trajectory Prediction</t>
  </si>
  <si>
    <t>Trajectory prediction plays a critical role in applications such as autonomous navigation, human motion forecasting, and robotic path planning. However, despite its importance, the scarcity of clean, large-scale datasets and the high bandwidth cost of continuous polling limit practical deployment in real-world intelligent systems. This study proposes a comparative evaluation framework using a hybrid dataset that integrates real and simulated user travel trajectories. The performance of seven regression models—LSTM, Bidirectional LSTM (Bi-LSTM), GRU, 1D CNN, Transformer, SVM, and XGBoost—is systematically analyzed using key metrics including Mean Squared Error (MSE), Mean Absolute Error (MAE), Root Mean Squared Error (RMSE), R-squared (R2), and Symmetric MAPE (SMAPE). The goal of this study is to benchmark these models on hybrid trajectory datasets and to test the hypothesis that sequence-aware deep models (Bi-LSTM, GRU) outperform traditional learners (SVM, XGBoost), with SMAPE providing clearer insights for lowvalue targets. Among these, the Bi-LSTM model demonstrates superior performance, particularly in terms of MAE and SMAPE. Additionally, the study explores hyperparameter tuning techniques, statistical validation, and the challenges of combining real and synthetic data, highlighting the effectiveness of SMAPE in low-value target scenarios. The findings not only support the use of Bi-LSTM for enhanced trajectory prediction accuracy in hybrid data environments but also underline the broader potential of predictive intelligence in reducing data transmission overhead and improving the efficiency of real-time mobility systems. These findings have direct implications for smart mobility and surveillance applications, where reducing polling frequency without compromising accuracy is essential. This study directly addresses the critical challenge of accurate real-time trajectory prediction under conditions of data scarcity by integrating both real and simulated datasets. The central goal is to design and benchmark regression-based architectures for short-term forecasting and to test the hypothesis that prediction accuracy can be significantly enhanced by incorporating temporal dependencies within spatio-temporal data. © Little Lion Scientific</t>
  </si>
  <si>
    <t>https://www.scopus.com/inward/record.uri?eid=2-s2.0-105024968998&amp;partnerID=40&amp;md5=de96609ee3829fdf0682a172110fc3a5</t>
  </si>
  <si>
    <t>Feature Importance Metrics in the Presence of Missing Data</t>
  </si>
  <si>
    <t>von Kleist, H.; Wendland, J.; Shpitser, I.; Marr, C.</t>
  </si>
  <si>
    <t>Feature importance metrics are critical for interpreting machine learning models and understanding the relevance of individual features. However, real-world data often exhibit missingness, thereby complicating how feature importance should be evaluated. We introduce the distinction between two evaluation frameworks under missing data: (1) feature importance under the full data, as if every feature had been fully measured, and (2) feature importance under the observed data, where missingness is governed by the current measurement policy. While the full data perspective offers insights into the data generating process, it often relies on unrealistic assumptions and cannot guide decisions when missingness persists at model deployment. Since neither framework directly informs improvements in data collection, we additionally introduce the feature measurement importance gradient (FMIG), a novel, model-agnostic metric that identifies features that should be measured more frequently to enhance predictive performance. Using synthetic data, we illustrate key differences between these metrics and the risks of conflating them. © 2025, ML Research Press. All rights reserved.</t>
  </si>
  <si>
    <t>https://www.scopus.com/inward/record.uri?eid=2-s2.0-105023822293&amp;partnerID=40&amp;md5=ec9451cd8baa015ab34b96dbd0f7fc15</t>
  </si>
  <si>
    <t>Methods for Generating and Evaluating Synthetic Longitudinal Patient Data: A Systematic Review</t>
  </si>
  <si>
    <t>Perkonoja, K.; Auranen, K.; Virta, J.</t>
  </si>
  <si>
    <t>Data sharing; Longitudinal patient data; Privacy-preserving data publishing; Statistical disclosure control; Synthetic data generation</t>
  </si>
  <si>
    <t>The rapid growth in data availability has facilitated research and development, yet not all industries have benefited equally due to legal and privacy constraints. The healthcare sector faces significant challenges in utilizing patient data because of concerns about data security and confidentiality. To address this, various privacy-preserving methods, including synthetic data generation, have been proposed. Synthetic data replicate existing data as closely as possible, acting as a proxy for sensitive information. While patient data are often longitudinal, this aspect remains underrepresented in existing reviews of synthetic data generation in healthcare. This paper maps and describes methods for generating and evaluating synthetic longitudinal patient data in real-life settings through a systematic literature review, conducted following the PRISMA guidelines and incorporating data from five databases up to May 2024. Thirty-nine methods were identified, with four addressing all key challenges in longitudinal patient data generation: preserving temporal structure, heterogeneous variable types, missing values, and unbalanced data. Most studies assessed resemblance to real data, the majority evaluated utility, and just over half examined privacy. However, only a minority considered all three aspects together. While four methods addressed the key challenges in generating synthetic longitudinal patient data, none incorporated privacy-preserving mechanisms. Additionally, their effectiveness with small sample sizes remains unclear, raising concerns about their real-world applicability. The lack of standardized evaluation criteria further complicates comparison. Future research should focus on developing privacy-preserving methods, robust evaluation frameworks, and ensuring publicly accessible code. Clearer directives from data protection authorities are needed, as synthetic patient data availability lags behind method development. © The Author(s) 2025.</t>
  </si>
  <si>
    <t>https://www.scopus.com/inward/record.uri?eid=2-s2.0-105022265100&amp;partnerID=40&amp;md5=79bc08aa5b3bb514646142ddc93511b2</t>
  </si>
  <si>
    <t>Exploring the potential of generative artificial intelligence in medical image synthesis: opportunities, challenges, and future directions</t>
  </si>
  <si>
    <t>Khosravi, B.; Purkayastha, S.; Erickson, B.J.; Trivedi, H.M.; Gichoya, J.W.</t>
  </si>
  <si>
    <t>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 © 2025 The Author(s)</t>
  </si>
  <si>
    <t>https://www.scopus.com/inward/record.uri?eid=2-s2.0-105013194598&amp;partnerID=40&amp;md5=dea9700f096b5cf846c49aa7636477a2</t>
  </si>
  <si>
    <t>Synthetic Data Generation Using Large Language Models: Advances in Text and Code</t>
  </si>
  <si>
    <t>Nadas, M.; Dioşan, L.; Tomescu, A.</t>
  </si>
  <si>
    <t>automated data annotation; bias and fairness in synthetic data; code data synthesis; code generation; evaluation of synthetic data; instruction tuning; large language models (LLMs); machine learning training data; model collapse in LLMs; natural language processing (NLP); prompt engineering; reinforcement learning for code; retrieval-augmented generation (RAG); Synthetic data generation; text data augmentation</t>
  </si>
  <si>
    <t>This survey reviews how large language models (LLMs) are transforming synthetic training data generation in both natural language and code domains. By producing artificial but task-relevant examples, these models can significantly augment or even substitute for real-world datasets, particularly in scenarios where labeled data is scarce, expensive, or sensitive. This paper surveys recent advances in leveraging LLMs to create synthetic text and code, highlighting key techniques such as prompt-based generation, retrieval-augmented pipelines, and iterative self-refinement. We examine how these methods can enrich low-resource tasks (e.g. classification, question answering) and facilitate code-centric applications (e.g. instruction tuning, code translation, bug repair) through automated verification of functional correctness. Alongside potential benefits - cost-effectiveness, broad coverage, and controllable diversity - we discuss the accompanying challenges, including factual inaccuracies in generated text, insufficient stylistic or distributional realism, and risks of bias amplification. Proposed mitigation strategies range from filtering and weighting synthetic outputs to reinforcement learning with execution feedback in code domains. We conclude by outlining open research directions, such as automated prompt engineering, cross-modal data synthesis, and robust evaluation frameworks, underscoring the growing importance of LLM-generated synthetic data in accelerating AI development while emphasizing ethical and quality safeguards. © IEEE. 2013 IEEE.</t>
  </si>
  <si>
    <t>https://www.scopus.com/inward/record.uri?eid=2-s2.0-105010969575&amp;partnerID=40&amp;md5=9d5522df033dbbb6c2905018b802518e</t>
  </si>
  <si>
    <t>A synthetic data-driven machine learning approach for athlete performance attenuation prediction</t>
  </si>
  <si>
    <t>Cordeiro, M.C.; O'Catháin, C.O.; Daly, L.; Kelly, D.T.; Rodrigues, T.B.</t>
  </si>
  <si>
    <t>athlete monitoring; machine learning; performance prediction; synthetic data; tabular variational autoencoders</t>
  </si>
  <si>
    <t>Introduction: Athlete performance monitoring is effective for optimizing training strategies and preventing injuries. However, applying machine learning (ML) frameworks to this domain remains challenging due to data scarcity limitations. This study extends previous research by evaluating Tabular Variational Autoencoders (TVAE) for generating synthetic data to predict performance attenuation in Gaelic football athletes. Methods: This study assesses synthetic data quality through a comprehensive evaluation framework combining column shape similarity metrics and Hellinger distance analysis, quantifying distributional fidelity across individual variables. Our ML implementation follows a two-phase approach. In the first phase, we evaluated models trained on hybrid datasets with varying synthetic proportions (10%–100%). In the second phase, we examined models trained exclusively on synthetic data and tested them on real data to analyze the utility of the synthetic data. Results: Our results demonstrate that TVAE-generated synthetic data closely replicates original distribution patterns, achieving 85.53% column shape similarity and a Hellinger distance of 0.169. Models trained with additional synthetic data or exclusively on synthetic data outperformed real-data baselines across multiple metrics, particularly for neuromuscular parameters. Our findings emphasize that this approach increased data availability and improved model performance in specific scenarios. Discussion: Several limitations remain: (1) there is limited framework transferability to sports with different physiological demands; (2) the Synthetic Data Generation (SDG) does not currently enforce feature constraints, and future implementations must ensure the procedure respects domain-specific feature limits; and (3) TVAE faced data fidelity challenges with certain variables, such as VO&lt;inf&gt;2max&lt;/inf&gt;. These findings demonstrate the utility of synthetic data for predicting performance attenuation in Gaelic Football athletes. They address the challenge of data scarcity and highlight how synthetic data can be effectively integrated across physiological, neuromuscular, and perceptual metrics in athlete monitoring. This opens new possibilities for exploring similar classification tasks in sports performance analysis. 2025 Cordeiro, Cathain, Daly, Kelly and Rodrigues.</t>
  </si>
  <si>
    <t>https://www.scopus.com/inward/record.uri?eid=2-s2.0-105007774324&amp;partnerID=40&amp;md5=9eb585c9ed79a5102c2baef5728deedf</t>
  </si>
  <si>
    <t>Integrating deep learning and clustering techniques to address imbalanced data in traffic accident severity prediction</t>
  </si>
  <si>
    <t>Zhang, M.; Li, J.; Zhang, C.; Wang, B.; Tang, X.</t>
  </si>
  <si>
    <t>clustering algorithm; deep learning; imbalanced data; Traffic accident severity prediction</t>
  </si>
  <si>
    <t>The rarity and randomness of serious traffic accidents result in highly imbalanced datasets, posing challenges for prediction and interpretation. Although emerging deep learning methods effectively address class imbalance, they are often unstable and may generate unrealistic data. To address this issue, this study proposes using the K-Prototype (KP) clustering algorithm to refine synthetic data, with Gini impurity employed to filter high-quality data by Wasserstein Generative Adversarial Network with Gradient Penalty (WGAN-GP). Subsequently, we develop an evaluation framework to assess the effectiveness of the proposed method, including a systematic comparison of the similarity between synthetic data generated by different resampling techniques and real data, as well as their impact on improving accident severity classification performance. The results show that the proposed method not only maintains data diversity but also enhances feature distribution, with the synthesized data from WGAN-GP-KP outperforming all other methods in accident severity prediction models. Furthermore, the SHapley Additive exPlanations (SHAP) technique is employed to analyze the factors influencing the severity of traffic accidents. This study offers valuable insights for traffic researchers in addressing imbalanced datasets related to accident severity. © 2025 Taylor &amp; Francis Group, LLC and The University of Tennessee.</t>
  </si>
  <si>
    <t>https://www.scopus.com/inward/record.uri?eid=2-s2.0-105007538741&amp;partnerID=40&amp;md5=4a6d5eb9c4639bf42b6270366b36bbc2</t>
  </si>
  <si>
    <t>A Review of Deep Learning for Biomedical Signals: Current Applications, Advancements, Future Prospects, Interpretation, and Challenges</t>
  </si>
  <si>
    <t>Alqudah, A.M.; Moussavi, Z.</t>
  </si>
  <si>
    <t>biomedical signals; biosignals; Deep learning; deep models; physiological signals</t>
  </si>
  <si>
    <t>This review presents a comprehensive technical analysis of deep learning (DL) methodologies in biomedical signal processing, focusing on architectural innovations, experimental validation, and evaluation frameworks. We systematically evaluate key deep learning architectures including convolutional neural networks (CNNs), recurrent neural networks (RNNs), transformer-based models, and hybrid systems across critical tasks such as arrhythmia classification, seizure detection, and anomaly segmentation. The study dissects preprocessing techniques (e.g., wavelet denoising, spectral normalization) and feature extraction strategies (time-frequency analysis, attention mechanisms), demonstrating their impact on model accuracy, noise robustness, and computational efficiency. Experimental results underscore the superiority of deep learning over traditional methods, particularly in automated feature extraction, real-time processing, cross-modal generalization, and achieving up to a 15% increase in classification accuracy and enhanced noise resilience across electrocardiogram (ECG), electroencephalogram (EEG), and electromyogram (EMG) signals. Performance is rigorously benchmarked using precision, recall, F1-scores, area under the receiver operating characteristic curve (AUC-ROC), and computational complexity metrics, providing a unified framework for comparing model efficacy. The survey addresses persistent challenges: synthetic data generation mitigates limited training samples, interpretability tools (e.g., Gradient-weighted Class Activation Mapping (Grad-CAM), Shapley values) resolve model opacity, and federated learning ensures privacy-compliant deployments. Distinguished from prior reviews, this work offers a structured taxonomy of deep learning architectures, integrates emerging paradigms like transformers and domain-specific attention mechanisms, and evaluates preprocessing pipelines for spectral-temporal trade-offs. It advances the field by bridging technical advancements with clinical needs, such as scalability in real-world settings (e.g., wearable devices) and regulatory alignment with the Health Insurance Portability and Accountability Act (HIPAA) and General Data Protection Regulation (GDPR). By synthesizing technical rigor, ethical considerations, and actionable guidelines for model selection, this survey establishes a holistic reference for developing robust, interpretable biomedical artificial intelligence (AI) systems, accelerating their translation into personalized and equitable healthcare solutions. © © 2025 The Authors.</t>
  </si>
  <si>
    <t>https://www.scopus.com/inward/record.uri?eid=2-s2.0-105006697560&amp;partnerID=40&amp;md5=000545d6df04bd473222cca5972436c1</t>
  </si>
  <si>
    <t>Knowledge-Aware Object Detection Adjusting mAP for Class Hierarchies in Autonomous Vehicles</t>
  </si>
  <si>
    <t>Jaiswal, C.; Challa, K.; Gokaraju, B.</t>
  </si>
  <si>
    <t>Autonomous Vehicles; CARLA Simulator; Deep Learning; Semantic-Aware Evaluation; Synthetic Data; YOLOv5</t>
  </si>
  <si>
    <t>Traditional object detection evaluation metrics often fail to account for the hierarchical nature of object classifications, leading to rigid assessments where semantically similar misclassifications are treated as entirely incorrect. This limitation can be particularly problematic in autonomous vehicle applications, where understanding subclass-superclass relationships is crucial for safe decision-making. This study introduces a hierarchical evaluation framework that assigns partial credit to predictions based on class relationships, offering a more flexible and informative assessment of object detection models. Our framework uses the YOLOv5 object detection model trained on a synthetic dataset generated with CARLA, an autonomous driving simulator. By leveraging synthetic data with hierarchical labels, we examine how integrating semantic relationships into evaluation metrics impacts model performance. Experimental results highlight the potential benefits of hierarchical evaluation, demonstrating improved interpretability of detection performance and better alignment with real-world decision-making processes in autonomous driving. This work underscores the importance of incorporating semantic awareness into object detection assessments and the role of synthetic datasets in advancing hierarchical classification models. © 2025 IEEE.</t>
  </si>
  <si>
    <t>https://www.scopus.com/inward/record.uri?eid=2-s2.0-105004638993&amp;partnerID=40&amp;md5=3a551e3db22a03ce53f3742727cda76b</t>
  </si>
  <si>
    <t>Comprehensive evaluation framework for synthetic tabular data in health: fidelity, utility and privacy analysis of generative models with and without privacy guarantees</t>
  </si>
  <si>
    <t>Hernandez, M.; Osorio-Marulanda, P.A.; Catalina, M.; Loinaz, L.; Epelde Unanue, G.; Aginako, N.</t>
  </si>
  <si>
    <t>differential privacy; generative models; privacy risk measureattacks; synthetic data evaluation; synthetic data fidelity; synthetic data generation; synthetic data privacy; synthetic data utility</t>
  </si>
  <si>
    <t>The generation of synthetic tabular data has emerged as a key privacy-enhancing technology to address challenges in data sharing, particularly in healthcare, where sensitive attributes can compromise patient privacy. Despite significant progress, balancing fidelity, utility, and privacy in complex medical datasets remains a substantial challenge. This paper introduces a comprehensive and holistic evaluation framework for synthetic tabular data, consolidating metrics and privacy risk measures across three key categories (fidelity, utility and privacy) and incorporating a fidelity-utility tradeoff metric. The framework was applied to three open-source medical datasets to evaluate synthetic tabular data generated by five generative models, both with and without differential privacy. Results showed that simpler models generally achieved better fidelity and utility, while more complex models provided lower privacy risks. The addition of differential privacy enhanced privacy preservation but often reduced fidelity and utility, highlighting the complexity of balancing fidelity, utility and privacy in synthetic data generation for medical datasets. Despite its contributions, this study acknowledges limitations, such as the lack of evaluation metrics neither privacy risk measures for required model training time and resource usage, reliance on default model parameters, and the assessment of models that incorporates differential privacy with only a single privacy budget. Future work should explore parameter optimization, alternative privacy mechanisms, broader applications of the framework to diverse datasets and domains, and collaborations with clinicians for clinical utility evaluation. This study provides a foundation for improving synthetic tabular data evaluation and advancing privacy-preserving data sharing in healthcare. 2025 Hernandez, Osorio-Marulanda, Catalina, Loinaz, Epelde and Aginako.</t>
  </si>
  <si>
    <t>https://www.scopus.com/inward/record.uri?eid=2-s2.0-105004409452&amp;partnerID=40&amp;md5=ed954ac776bb0410f5137c46d4079506</t>
  </si>
  <si>
    <t>Spatiotemporal Generative Adversarial Network for Industrial Fault Diagnosis With Imbalanced Data</t>
  </si>
  <si>
    <t>Zhang, H.; Guo, H.; Shang, J.; Peng, K.</t>
  </si>
  <si>
    <t>Fault diagnosis; generative adversarial networks (GANs); industrial processes; time-series data</t>
  </si>
  <si>
    <t>High-quality data is crucial for fault diagnosis, yet industrial settings often face challenges such as data imbalance and a scarcity of labeled instances, which hinder diagnostic accuracy. Generative models have emerged as a key solution to these issues. To maximize the utility of generated data in model training, it needs to align with the original data in terms of distribution, temporal dynamics, and spatial relationships. To generate industrial time-series data, we develop a spatiotemporal generative adversarial network (GAN) that integrates three key innovations: a variational autoencoder long short-term memory generator to capture temporal dependencies, a mode-seeking regularization (MSR) technique to mitigate mode collapse, and a dual-adversarial mechanism that enhances data quality by incorporating a Siamese convolutional neural network alongside the discriminator. Recognizing that existing similarity metrics primarily focus on data distribution, often leading to a narrow evaluation scope, we propose a comprehensive similarity evaluation framework that assesses generated data across distribution, temporal, and spatial dimensions. Our method surpasses the second-best approach in all three aspects, achieving superior F1 score and G-means, thereby ensuring high-quality synthetic data for industrial fault diagnosis. © 1963-2012 IEEE.</t>
  </si>
  <si>
    <t>https://www.scopus.com/inward/record.uri?eid=2-s2.0-105002285680&amp;partnerID=40&amp;md5=0cafdc2be00f562e3d92e70fa3510f6c</t>
  </si>
  <si>
    <t>GeOT: a spatially explicit framework for evaluating spatio-temporal predictions</t>
  </si>
  <si>
    <t>Wiedemann, N.; Uscidda, T.; Raubal, M.</t>
  </si>
  <si>
    <t>evaluation framework; GeoAI; spatio-temporal modelling</t>
  </si>
  <si>
    <t>When predicting observations across space and time, the spatial layout of errors impacts a model’s real-world utility. For instance, in bike sharing demand prediction, error patterns translate to relocation costs. However, commonly used error metrics in GeoAI evaluate predictions point-wise, neglecting effects such as spatial heterogeneity, autocorrelation, and the Modifiable Areal Unit Problem. We put forward Optimal Transport (OT) as a spatial evaluation metric and loss function. The proposed framework, called GeOT, assesses the performance of prediction models by quantifying the transport costs associated with their prediction errors. Through experiments on real and synthetic data, we demonstrate that (1) the spatial distribution of prediction errors relates to real-world costs in many applications, (2) OT captures these spatial costs more accurately than existing metrics, and (3) OT enhances comparability across spatial and temporal scales. Finally, we advocate for leveraging OT as a loss function in neural networks to improve the spatial accuracy of predictions. Experiments with bike sharing, charging station, and traffic datasets show that spatial costs are significantly reduced with only marginal changes to non-spatial error metrics. Thus, this approach not only offers a spatially explicit tool for model evaluation and selection but also integrates spatial considerations into model training. © 2025 The Author(s). Published by Informa UK Limited, trading as Taylor &amp; Francis Group.</t>
  </si>
  <si>
    <t>https://www.scopus.com/inward/record.uri?eid=2-s2.0-105002147250&amp;partnerID=40&amp;md5=1073d5dfc8b96c90900f42d097ac1da7</t>
  </si>
  <si>
    <t>Utility Meets Privacy: A Critical Evaluation of Tabular Data Synthesizers</t>
  </si>
  <si>
    <t>Hollig, J.; Geierhos, M.</t>
  </si>
  <si>
    <t>Membership inference analysis; privacy evaluation; tabular data synthesizer; utility-privacy trade-off</t>
  </si>
  <si>
    <t>Evaluating synthetic data requires careful consideration of both utility and privacy. This study analyzes 12 synthesizers across 17 tabular health datasets, providing large-scale, comparable evaluation results. A novel utility-privacy score integrates a privacy measure into the evaluation, quantifying the trade-off between the two. Membership inference analysis is extended for robust privacy assessment, with reusable code provided for further research. Key findings include: 1) despite its simplicity, SMOTE achieves the best results of all synthesizers, but no single synthesizer consistently outperforms all others across all datasets; 2) utility and privacy are inherently correlated, with improvements in one compromising the other; 3) some synthesizers exhibit greater robustness to variations in data properties, such as sample and feature size, and some properties have a stronger impact than others. These findings underscore how closely the utility of a synthesizer is tied to individual datasets and privacy considerations, and highlight the importance of incorporating these aspects into future research and adopting broader, more diverse evaluation frameworks. © 2013 IEEE.</t>
  </si>
  <si>
    <t>https://www.scopus.com/inward/record.uri?eid=2-s2.0-105001088166&amp;partnerID=40&amp;md5=502704159fe996f51ccc2b99993cfa86</t>
  </si>
  <si>
    <t>On LLM Wizards: Identifying Large Language Models’ Behaviors for Wizard of Oz Experiments</t>
  </si>
  <si>
    <t>Fang, J.; Aréchiga, N.; Namikoshi, K.; Bravo, N.; Hogan, C.; Shamma, D.A.</t>
  </si>
  <si>
    <t>large language model; LLM; methods; persuasive conversation; synthetic data; Wizard of Oz; WoZ</t>
  </si>
  <si>
    <t>The Wizard of Oz (WoZ) method is a widely adopted research approach where a human Wizard “role-plays” a not readily available technology and interacts with participants to elicit user behaviors and probe the design space. With the growing ability for modern large language models (LLMs) to role-play, one can apply LLMs as Wizards in WoZ experiments with better scalability and lower cost than the traditional approach. However, methodological guidance on responsibly applying LLMs in WoZ experiments and a systematic evaluation of LLMs’ role-playing ability are lacking. Through two LLM-powered WoZ studies, we take the first step towards identifying an experiment lifecycle for researchers to safely integrate LLMs into WoZ experiments and interpret data generated from settings that involve Wizards role-played by LLMs. We also contribute a heuristic-based evaluation framework that allows the estimation of LLMs’ role-playing ability in WoZ experiments and reveals LLMs’ behavior patterns at scale. © 2024 Copyright held by the owner/author(s).</t>
  </si>
  <si>
    <t>https://www.scopus.com/inward/record.uri?eid=2-s2.0-85215500554&amp;partnerID=40&amp;md5=02f73901297337fd0da42a6a5d197717</t>
  </si>
  <si>
    <t>Evaluation of synthetic electronic health records: A systematic review and experimental assessment</t>
  </si>
  <si>
    <t>Budu, E.; Etminani, K.; Soliman, A.; Rögnvaldsson, T.</t>
  </si>
  <si>
    <t>Electronic health records (EHRs); Evaluation; Synthetic data</t>
  </si>
  <si>
    <t>Recent studies have shown how synthetic data generation methods can be applied to electronic health records (EHRs) to obtain synthetic versions that do not violate privacy rules. This growing body of research has resulted in the emergence of numerous methods for evaluating the quality of generated data, with new publications often introducing novel evaluation methods. This work presents a detailed review of synthetic EHRs, focusing on the various evaluation methods used to assess the quality of the generated EHRs. We discuss the existing evaluation methods, offering insights into their use as well as providing an interpretation of the evaluation metrics from the perspectives of achieving fidelity, utility and privacy. Furthermore, we highlight the key factors influencing the selection of evaluation methods, such as the type of data (e.g., categorical, continuous, or discrete) and the mode of application (e.g., patient level, cohort level, and feature level). To assess the effectiveness of current evaluation measures, we conduct a series of experiments to shed light on the potential limitations of these measures. The findings from these experiments reveal notable shortcomings, including the need for meticulous application of methods to the data to reduce inconsistent evaluations, the qualitative nature of some assessments subject to individual judgment, the need for clinical validations, and the absence of techniques to evaluate temporal dependencies within the data. This highlights the need to place greater emphasis on evaluation measures, their application, and the development of comprehensive evaluation frameworks as it is crucial for advancing progress in this field. © 2024 The Author(s)</t>
  </si>
  <si>
    <t>https://www.scopus.com/inward/record.uri?eid=2-s2.0-85200824698&amp;partnerID=40&amp;md5=b3c46f264bb2f3c0ee388cef70156bc7</t>
  </si>
  <si>
    <t>Can I trust my fake data – A comprehensive quality assessment framework for synthetic tabular data in healthcare</t>
  </si>
  <si>
    <t>Vallevik, V.B.; Babić, A.; Marshall, S.E.; Elvatun, S.; Brøgger, H.M.B.; Alagaratnam, S.; Edwin, B.; Veeraragavan, N.R.; Befring, A.K.; Nygård, J.F.</t>
  </si>
  <si>
    <t>AI; Deep generative models; Evaluation framework; Healthcare; Synthetic tabular data; Taxonomy</t>
  </si>
  <si>
    <t>Background: Ensuring safe adoption of AI tools in healthcare hinges on access to sufficient data for training, testing and validation. Synthetic data has been suggested in response to privacy concerns and regulatory requirements and can be created by training a generator on real data to produce a dataset with similar statistical properties. Competing metrics with differing taxonomies for quality evaluation have been proposed, resulting in a complex landscape. Optimising quality entails balancing considerations that make the data fit for use, yet relevant dimensions are left out of existing frameworks. Method: We performed a comprehensive literature review on the use of quality evaluation metrics on synthetic data within the scope of synthetic tabular healthcare data using deep generative methods. Based on this and the collective team experiences, we developed a conceptual framework for quality assurance. The applicability was benchmarked against a practical case from the Dutch National Cancer Registry. Conclusion: We present a conceptual framework for quality assurance of synthetic data for AI applications in healthcare that aligns diverging taxonomies, expands on common quality dimensions to include the dimensions of Fairness and Carbon footprint, and proposes stages necessary to support real-life applications. Building trust in synthetic data by increasing transparency and reducing the safety risk will accelerate the development and uptake of trustworthy AI tools for the benefit of patients. Discussion: Despite the growing emphasis on algorithmic fairness and carbon footprint, these metrics were scarce in the literature review. The overwhelming focus was on statistical similarity using distance metrics while sequential logic detection was scarce. A consensus-backed framework that includes all relevant quality dimensions can provide assurance for safe and responsible real-life applications of synthetic data. As the choice of appropriate metrics are highly context dependent, further research is needed on validation studies to guide metric choices and support the development of technical standards. © 2024 The Author(s)</t>
  </si>
  <si>
    <t>https://www.scopus.com/inward/record.uri?eid=2-s2.0-85188674503&amp;partnerID=40&amp;md5=dcbcae881c2d2da05e735f588f215f86</t>
  </si>
  <si>
    <t>Souid, H.E.; Ody, L.; Achenchabe, Y.; Lemaire, V.; Aversano, G.; Skhiri, S.</t>
  </si>
  <si>
    <t>https://www.scopus.com/inward/record.uri?eid=2-s2.0-85192269757&amp;partnerID=40&amp;md5=6a76adef926f9e40d0b9b213163116c1</t>
  </si>
  <si>
    <t>Assessment of differentially private synthetic data for utility and fairness in end-to-end machine learning pipelines for tabular data</t>
  </si>
  <si>
    <t>Pereira, M.; Kshirsagar, M.; Mukherjee, S.; Dodhia, R.; Lavista-Ferres, J.L.; De Sousa Júnior, R.</t>
  </si>
  <si>
    <t>Differentially private (DP) synthetic datasets are a solution for sharing data while preserving the privacy of individual data providers. Understanding the effects of utilizing DP synthetic data in end-to-end machine learning pipelines impacts areas such as health care and humanitarian action, where data is scarce and regulated by restrictive privacy laws. In this work, we investigate the extent to which synthetic data can replace real, tabular data in machine learning pipelines and identify the most effective synthetic data generation techniques for training and evaluating machine learning models. We systematically investigate the impacts of differentially private synthetic data on downstream classification tasks from the point of view of utility as well as fairness. Our analysis is comprehensive and includes representatives of the two main types of synthetic data generation algorithms: marginal-based and GAN-based. To the best of our knowledge, our work is the first that: (i) proposes a training and evaluation framework that does not assume that real data is available for testing the utility and fairness of machine learning models trained on synthetic data; (ii) presents the most extensive analysis of synthetic dataset generation algorithms in terms of utility and fairness when used for training machine learning models; and (iii) encompasses several different definitions of fairness. Our findings demonstrate that marginal-based synthetic data generators surpass GAN-based ones regarding model training utility for tabular data. 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 © 2024 Pereira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</si>
  <si>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https://www.scopus.com/inward/record.uri?eid=2-s2.0-85183941688&amp;partnerID=40&amp;md5=16d048286977dbbdc8265a2513fec8fd</t>
  </si>
  <si>
    <t>Ranking Synthetic Data Generators Using a Permissioned Blockchain-based Framework</t>
  </si>
  <si>
    <t>Veeraragavan, N.R.; Tabatabaei, M.H.; Elvatun, S.; Vallevik, V.B.; Larønningen, S.; Nygård, J.F.</t>
  </si>
  <si>
    <t>Adaptive arrays; Arrays; Blockchains; Data protection; Generators; Measurement; Pressing; Smart contracts; Synthetic data; Writing</t>
  </si>
  <si>
    <t>Synthetic data generation is increasingly recognized as crucial in addressing data-related challenges such as scarcity, bias, and privacy concerns. As synthetic data proliferates, the need for a robust evaluation framework to select a synthetic data generator becomes more pressing given the variety of options available. In this study, we investigate two primary questions: 1) How can we select the most suitable synthetic data generator from a set of options for a specific purpose? 2) How can we make the selection process more transparent, accountable, and auditable? To address these questions, we introduce a novel approach where the proposed ranking algorithm is implemented as a smart contract within a permissioned blockchain framework. Through comprehensive experiments and comparisons with state-of-the-art baseline ranking solutions, our framework demonstrates its effectiveness in providing nuanced rankings that consider both desirable and undesirable properties. Furthermore, our framework serves as a valuable tool for selecting the optimal synthetic data generators for specific needs while ensuring compliance with data protection principles. © 2024 IEEE.</t>
  </si>
  <si>
    <t>https://www.scopus.com/inward/record.uri?eid=2-s2.0-85218155709&amp;partnerID=40&amp;md5=6fb3ebec0c76b68c7a88cfbdae17c26e</t>
  </si>
  <si>
    <t>Towards the Design, Quality Assessment and Explainability of Synthetic Tabular Data Generation Techniques for Metabolic Syndrome Diagnosis</t>
  </si>
  <si>
    <t>Manjarrés, D.; Ispizua, B.; Niño-Adan, I.</t>
  </si>
  <si>
    <t>classification; machine learning; metabolic syndrome; synthetic data evaluation; synthetic data generation</t>
  </si>
  <si>
    <t>In last years decision-making Machine Leaning (ML) approaches have evolved from traditional methods to evidence-based approaches, particularly in healthcare sector. However, sharing data with third parties raises significant security and privacy concerns. To address these issues, researchers have explored data anonymization, distributed privacypreserving data mining, and synthetic data generation (SDG). SDG, in particular, shows promise in enabling secure data sharing while preserving privacy, crucial for developing advanced AI models. This paper focuses on Metabolic Syndrome (MetS) data, a condition affecting a significant portion of the population, and investigates various synthetic tabular data generation (STDG)techniques. It evaluates the performance of an AutoML approach for predicting MetS using different percentages of synthetic data assessed through a specific evaluation framework. Moreover, presents an explainability and feature relevance analysis of the proposed STDG methods. © 2024 IEEE.</t>
  </si>
  <si>
    <t>https://www.scopus.com/inward/record.uri?eid=2-s2.0-85217276748&amp;partnerID=40&amp;md5=782906a6d66c92300d7563a0ec4248ae</t>
  </si>
  <si>
    <t>SETSUBUN: Revisiting Membership Inference Game for Evaluating Synthetic Data Generation</t>
  </si>
  <si>
    <t>Miura, T.; Kii, M.; Shibahara, T.; Iwahana, K.; Okuda, T.; Ichikawa, A.; Yanai, N.</t>
  </si>
  <si>
    <t>evaluation framework; membership inference; privacy protection; synthetic data generation</t>
  </si>
  <si>
    <t>Synthetic data generation techniques are promising for anonymizing high-dimensional tabular datasets, and their privacy protection can be evaluated by membership inference attacks. However, the existing evaluation framework has limitations from two perspectives: (1) it cannot evaluate the worst-case because a target sample is chosen randomly; and (2) the decision criterion of an adversary’s inference is black box since the adversary conducts membership inference by using machine learning models. In this paper, we propose a framework to overcome the above limitations in a simple and clear fashion. To cope with limitation (1), we introduce a statistical distance to choose a vulnerable target sample. To cope with limitation (2), we propose two interpretable inference methods. One is a method with typical statistics scores, and the other is a method with the Euclidean distance from the target sample. We conduct extensive experiments on two datasets and five synthesis algorithms to confirm the effectiveness of our framework. The experiments show that our framework enables us to evaluate privacy in synthetic data generation techniques more tightly. © 2024 Information Processing Society of Japan.</t>
  </si>
  <si>
    <t>https://www.scopus.com/inward/record.uri?eid=2-s2.0-85205235570&amp;partnerID=40&amp;md5=3101c611a7a149e8b43350a12304cc09</t>
  </si>
  <si>
    <t>PERFGEN: A Synthesis and Evaluation Framework for Performance Data using Generative AI</t>
  </si>
  <si>
    <t>Banday, B.H.; Islam, T.Z.; Marathe, A.</t>
  </si>
  <si>
    <t>Evaluation; Generative Modeling; Large Language Model; Scientific Data</t>
  </si>
  <si>
    <t>Collecting data in High-Performance Computing (HPC) is a laborious task, demanding that application scientists execute the application multiple times with different configurations. Due to the essential nature of performance modeling and root cause analysis as initial phases of performance enhancement, the data collection phase prolongs the optimization process. Motivated by this observation, we investigate the feasibility of leveraging the recent advancement in the field of generative Artificial Intelligence (AI) to synthesize performance samples. However, generating synthetic performance data introduces an additional hurdle: the absence of ground truths to assess the quality of the synthetic data. This work takes a step toward bridging this gap where we propose a framework-PERFGEN-for generating performance data and evaluating its quality using a novel metric called Dissimilarity. Our experiments with three performance and five machine learning datasets (including three classification and two regression datasets), confirm that our proposed Dissimilarity correlates with model accuracy better than three of the state-of-the-art metrics-SD quality, Kullback-Leibler Divergence (KL), and TabSyndex, demonstrating that the Dissimilarity metric strongly correlates with the quality of generated scientific data. We evaluate the quality by measuring how well the generated data enables a downstream Machine Learning (ML) task to generalize. Since performance data is a special case of scientific data-typically stored in tabular format and consisting of numerical, categorical, and ordinal features-our methodologies and metrics apply to scientific data from other domains as well. © 2024 IEEE.</t>
  </si>
  <si>
    <t>https://www.scopus.com/inward/record.uri?eid=2-s2.0-85204062589&amp;partnerID=40&amp;md5=e3c15852b8992ff1190162b12e03305b</t>
  </si>
  <si>
    <t>An Evaluation Framework for Synthetic Data Generation Models</t>
  </si>
  <si>
    <t>Livieris, I.E.; Alimpertis, N.; Domalis, G.; Tsakalidis, D.</t>
  </si>
  <si>
    <t>evaluation framework; statistical analysis; Synthetic data generator; tabular data</t>
  </si>
  <si>
    <t>Nowadays, the use of synthetic data has gained popularity as a cost-efficient strategy for enhancing data augmentation for improving machine learning models performance as well as addressing concerns related to sensitive data privacy. Therefore, the necessity of ensuring quality of generated synthetic data, in terms of accurate representation of real data, consists of primary importance. In this work, we present a new framework for evaluating synthetic data generation models’ ability for developing high-quality synthetic data. The proposed approach is able to provide strong statistical and theoretical information about the evaluation framework and the compared models’ ranking. Two use case scenarios demonstrate the applicability of the proposed framework for evaluating the ability of synthetic data generation models to generated high quality data. © IFIP International Federation for Information Processing 2024.</t>
  </si>
  <si>
    <t>https://www.scopus.com/inward/record.uri?eid=2-s2.0-85199206787&amp;partnerID=40&amp;md5=f8744d0121096e3fc648363599df4eb0</t>
  </si>
  <si>
    <t>Introducing SPINE: A Holistic Approach to Synthetic Pulmonary Imaging Evaluation Through End-to-End Data and Model Management</t>
  </si>
  <si>
    <t>Ntampakis, N.; Argyriou, V.; Diamantaras, K.; Goulianas, K.; Sarigiannidis, P.; Siniosoglou, I.</t>
  </si>
  <si>
    <t>Framework; post-market; synthetic; X-ray</t>
  </si>
  <si>
    <t>In the evolving field of medical imaging and machine learning (ML), this paper introduces a novel framework for evaluating synthetic pulmonary imaging aiming to assess synthetic data quality and applicability. Our study concentrates on synthetic X-ray chest images, crucial for diagnosing respiratory diseases. We employ SPINE (Synthetic Pulmonary Imaging Evaluation) framework, a threefold synthetic images evaluation method including expert domain assessment, statistical data analysis and adversarial evaluation. In order to replicate and validate our methodology, we followed an End-to-End data and model management process which begins with a dataset of Normal and Pneumonia chest X-rays, generating synthetic images using Generative Adversarial Networks (GANs) and training a baseline classifier, essential in the adversarial evaluation axis, testing synthetic images against real data assessing their predictive value. The critical outcome of our approach is the post-market analysis of synthetic images. This innovative method evaluates synthetic images using clinical, statistical, and scientific criteria independently from traditional generation performance metrics. This independent evaluation provides deep insights into the clinical and research effectiveness of the synthetic data. By ensuring these images mirror real data's statistical properties and maintain clinical accuracy, our framework establishes a new standard for the ethical and reliable use of synthetic data in medical imaging and research. © 2020 IEEE.</t>
  </si>
  <si>
    <t>https://www.scopus.com/inward/record.uri?eid=2-s2.0-85198325766&amp;partnerID=40&amp;md5=12c3c246a918a33cada0b7a5e5948381</t>
  </si>
  <si>
    <t>Towards an Evaluation Framework for Indoor Recommender Systems</t>
  </si>
  <si>
    <t>Ferrato, A.</t>
  </si>
  <si>
    <t>Evaluation Framework; Indoor Environment; Recommender Systems</t>
  </si>
  <si>
    <t>Recommender Systems (RSs) play a crucial role in shaping user experiences on the Web, yet their availability is limited when it comes to indoor environments. Indoor RSs face unique challenges, including user localization, privacy concerns, complex spatial layouts, and user adoption. While several evaluation frameworks exist, they are primarily designed for online domains and may not be suitable for indoor recommendations. This paper introduces an evaluation framework tailored for indoor RSs, addressing the scarcity of publicly available datasets and the complexity of model comparison and metric selection. We also emphasize the absence of a suitable dataset for indoor recommendations and propose the integration of a synthetic data generator to facilitate research in this domain. This paper reviews existing evaluation frameworks and identifies their limitations in the context of indoor recommendations, setting the first step for developing a specialized framework. Our work aims to bridge the gap between traditional RSs and indoor environments, paving the way for more effective recommendations in physical spaces. © 2022 Copyright for this paper by its authors.</t>
  </si>
  <si>
    <t>https://www.scopus.com/inward/record.uri?eid=2-s2.0-85191945998&amp;partnerID=40&amp;md5=8be7587cc0278257fbf0f641768922da</t>
  </si>
  <si>
    <t>A Framework for Evaluating Synthetic Electronic Health Records</t>
  </si>
  <si>
    <t>Budu, E.; Soliman, A.; Etminani, K.; Rögnvaldsson, T.</t>
  </si>
  <si>
    <t>Electronic Health Records; evaluation; Synthetic data</t>
  </si>
  <si>
    <t>Synthetic data generation can be applied to Electronic Health Records (EHRs) to obtain synthetic versions that do not compromise patients' privacy. However, the proliferation of synthetic data generation techniques has led to the introduction of a wide variety of methods for evaluating the quality of generated data. This makes the task of evaluating generated data from different models challenging as there is no consensus on the methods used. Hence the need for standard ways of evaluating the generated data. In addition, the available methods do not assess whether dependencies between different variables are maintained in the synthetic data. Furthermore, synthetic time series EHRs (patient encounters) are not well investigated, as the available methods do not consider the temporality of patient encounters. In this work, we present an overview of evaluation methods and propose an evaluation framework to guide the evaluation of synthetic EHRs. © 2023 European Federation for Medical Informatics (EFMI) and IOS Press.</t>
  </si>
  <si>
    <t>https://www.scopus.com/inward/record.uri?eid=2-s2.0-85159759461&amp;partnerID=40&amp;md5=a454789c9ef0027d76d42057d8a4ff8a</t>
  </si>
  <si>
    <t>Meta-evaluation for 3D Face Reconstruction Via Synthetic Data</t>
  </si>
  <si>
    <t>Sariyanidi, E.; Ferrari, C.; Berretti, S.; Schultz, R.T.; Tunç, B.</t>
  </si>
  <si>
    <t>The standard benchmark metric for 3D face reconstruction is the geometric error between reconstructed meshes and the ground truth. Nearly all recent reconstruction methods are validated on real ground truth scans, in which case one needs to establish point correspondence prior to error computation, which is typically done with the Chamfer (i.e., nearest neighbor) criterion. However, a simple yet fundamental question have not been asked: Is the Chamfer error an appropriate and fair benchmark metric for 3D face reconstruction? More generally, how can we determine which error estimator is a better benchmark metric? We present a meta-evaluation framework that uses synthetic data to evaluate the quality of a geometric error estimator as a benchmark metric for face reconstruction. Further, we use this framework to experimentally compare four geometric error estimators. Results show that the standard approach not only severely underestimates the error, but also does so inconsistently across reconstruction methods, to the point of even altering the ranking of the compared methods. Moreover, although non-rigid ICP leads to a metric with smaller estimation bias, it could still not correctly rank all compared reconstruction methods, and is significantly more time consuming than Chamfer. In sum, we show several issues present in the current benchmarking and propose a procedure using synthetic data to address these issues. © 2023 IEEE.</t>
  </si>
  <si>
    <t>https://www.scopus.com/inward/record.uri?eid=2-s2.0-85182788588&amp;partnerID=40&amp;md5=85982c9a2ce17b40667cff4f00705245</t>
  </si>
  <si>
    <t>Extending Synthetic Data Evaluation Metrics</t>
  </si>
  <si>
    <t>Galloni, A.; Lendák, I.; Horváth, T.</t>
  </si>
  <si>
    <t>Data Evaluation Framework; Differential Privacy; Evaluation Metrics; Synthetic Data</t>
  </si>
  <si>
    <t>This paper explores the impact of the evolving evaluation metrics used to evaluate synthetic data and the related generative mechanism in the context of Differential Privacy (DP). Specifically, the authors provide an overview of current synthetic data evaluation methodologies and most commonly used metrics, identifying improvement possibilities. As the field continues to evolve, the authors also propose an improved version of a previously introduced comprehensive evaluation metric useful to redefine such evaluation frameworks in order to make them more complete and exhaustive. This proposed composite metric offers new ideas and directions for future comprehensive quantitative analysis of differentially private synthetic data and, thus, of their related generators. © 2023 IEEE.</t>
  </si>
  <si>
    <t>https://www.scopus.com/inward/record.uri?eid=2-s2.0-85178607868&amp;partnerID=40&amp;md5=be1e02c78b0d646e1c7b3fed69b0e508</t>
  </si>
  <si>
    <t>Hybrid Framework for Generating Structured Data Synthetically while Maintaining Referential Integrity</t>
  </si>
  <si>
    <t>Sharma, A.; Pawar, M.; Ramkumar, B.; Rastogi, A.; Ranade, R.; Jain, C.</t>
  </si>
  <si>
    <t>Deep Learning; Generative Adversarial Networks; Hierarchical Modeling Algorithm; Machine Learning; Statistics</t>
  </si>
  <si>
    <t>There have been multiple attempts in academia and industry to generate synthetic data. The requirements for synthetic data have surged with the evolution of AI/ML in the industry. Organizations frequently face roadblocks due to the non-availability of data relating to compliance, etc. This leads to a significant loss of opportunities as insights are not available due to data limitations. Traditionally, manual mocking, masking of production data, Generative Adversarial Network (GAN) driven approaches, etc., have been explored, but they fail to address referential integrity. We present a Synthetic Data Generation framework to generate a relational data set comprising interlinked tables while maintaining referential integrity. The framework is an ensemble of many algorithms, including GAN, HMA (Hierarchical Modeling Algorithm), Explicit distribution extraction, etc. Further, we present an evaluation framework to measure the Veracity, Variety, and Volume of the generated data. The results have been validated on a variety of datasets across industries. We believe the framework can disrupt and help multiple organizations that are not able to leverage data due to any constraints. © 2023 IEEE.</t>
  </si>
  <si>
    <t>https://www.scopus.com/inward/record.uri?eid=2-s2.0-85174043020&amp;partnerID=40&amp;md5=059b778d062de509dec1b682e237eaa1</t>
  </si>
  <si>
    <t>Resource-Efficient Synthetic Data Generation for Performance Evaluation in Mobile Edge Computing Over 5G Networks</t>
  </si>
  <si>
    <t>Pandey, C.; Tiwari, V.; Rathore, R.S.; Jhaveri, R.H.; Sinha Roy, D.S.; Selvarajan, S.</t>
  </si>
  <si>
    <t>5G; Generative adversarial network; mobile edge computing; performance evaluation; resource efficiency; synthetic data generation</t>
  </si>
  <si>
    <t>Mobile Edge Computing (MEC) in 5G networks has emerged as a promising technology to enable efficient and low-latency services for mobile users. In this paper, we present a novel synthetic data generation approach tailored for evaluating MEC in 5G networks. Our methodology incorporates resource-efficient techniques to generate realistic synthetic datasets that capture the spatio-temporal patterns of mobile traffic and user behavior. By leveraging advanced modeling techniques, including multi-head attention and bidirectional LSTM, we accurately model the complex dependencies in the data while optimizing computational resources. The proposed synthetic data generator enables the creation of diverse datasets that closely resemble real-world scenarios, facilitating the evaluation of MEC performance and optimizing resource utilization. Through extensive experiments and evaluations, we demonstrate the effectiveness of our approach in enabling accurate assessments of MEC in 5G networks. Our work contributes to the field by providing a robust methodology for synthetic data generation specifically tailored for MEC evaluation, addressing the need for resource-efficient evaluation frameworks in the context of emerging technologies. The results of our study provide valuable insights for the design and optimization of MEC systems in real-world deployments. © 2020 IEEE.</t>
  </si>
  <si>
    <t>https://www.scopus.com/inward/record.uri?eid=2-s2.0-85172416009&amp;partnerID=40&amp;md5=a3983fa30d45851106c65f5caccf93d8</t>
  </si>
  <si>
    <t>Differentially Private Copulas, DAG and Hybrid Methods: A Comprehensive Data Utility Study</t>
  </si>
  <si>
    <t>Galloni, A.; Lendák, I.</t>
  </si>
  <si>
    <t>Bayesian Networks; Copula Functions; Differential Privacy; Evaluation Metrics; Synthetic Data Generation</t>
  </si>
  <si>
    <t>Differentially Private (DP) synthetic data generation (SDG) algorithms take as input a dataset containing private, confidential information and produce synthetic data with comparable statistical characteristics. The significance of such techniques is rising due to the growing awareness of the extent of data collection and usage in organizational contexts, as well as the implementation of new stricter data privacy regulations. Given the growing academic interest in DP SDG techniques, our study intends to perform a comparative evaluation of the statistical similarities and utility (in terms of machine learning performances) of a specific set of related algorithms in the realistic context of credit-risk and banking. The study compares PrivBayes, Copula-Shirley, and DPCopula algorithms and their variants using a proposed evaluation framework across three different datasets. The purpose of this study is to perform a thorough assessment of the score and to investigate the impact of different values of the privacy budget (ϵ ) on the quality and usability of synthetic data generated by each method. As a result, we highlight and examine the deficiencies and capabilities of each algorithm in relation to the features’ properties of the original data. © 2023, The Author(s), under exclusive license to Springer Nature Switzerland AG.</t>
  </si>
  <si>
    <t>https://www.scopus.com/inward/record.uri?eid=2-s2.0-85172412121&amp;partnerID=40&amp;md5=8e202646669f74ad39dc79e6efb3847b</t>
  </si>
  <si>
    <t>Energy-aware Theft Detection based on IoT Energy Consumption Data</t>
  </si>
  <si>
    <t>Nadeem, Z.; Aslam, Z.; Jaber, M.; Qayyum, A.; Qadir, J.</t>
  </si>
  <si>
    <t>Convolutional neural network; Data imbalance; Electricity theft detection; Internet of Things (IoT); Smart meters</t>
  </si>
  <si>
    <t>With the advent of modern smart grid networks, advanced metering infrastructure provides real-time information from smart meters (SM) and sensors to energy companies and consumers. The smart grid is indeed a paradigm that is enabled by the Internet of Things (IoT) and in which the SM acts as an IoT device that collects and transmits data over the Internet to enable intelligent applications. However, IoT data communicated over the smart grid could however be maliciously altered, resulting in energy theft due to unbilled energy consumption. Machine learning (ML) techniques for energy theft detection (ETD) based on IoT data are promising but are nonetheless constrained by the poor quality of data and particularly its imbalanced nature (which emerges from the dominant representation of honest users and poor representation of the rare theft cases). Leading ML-based ETD methods employ synthetic data generation to balance the training the dataset. However, these are trained to maximise average correct detection instead of ETD. In this work, we formulate an energy-aware evaluation framework that guides the model training to maximise ETD and minimise the revenue loss due to mis-classification. We propose a convolution neural network with positive bias (CNN-B) and another with focal loss CNN (CNN-FL) to mitigate the data imbalance impact. These outperform the state of the art and the CNN-B achieves the highest ETD and the minimum revenue loss with a loss reduction of 30.4% compared to the highest loss incurred by these methods. © 2023 IEEE.</t>
  </si>
  <si>
    <t>https://www.scopus.com/inward/record.uri?eid=2-s2.0-85165109413&amp;partnerID=40&amp;md5=528cbb479772607e86559414746e381a</t>
  </si>
  <si>
    <t>Evaluation of synthetically generated traces towards a data-centre digital twin</t>
  </si>
  <si>
    <t>Fernández-Montes, A.; Fernández-Cerero, D.; Jakóbik, A.; Bermejo, B.; Juiz, C.</t>
  </si>
  <si>
    <t>data augmentation; data centre traces; generative adversarial networks; synthetic data generation; time-series</t>
  </si>
  <si>
    <t>Several approaches exist to generate synthetic data centre traces for various purposes: from augmenting operational traces for data centre simulators and digital twins to forecasting incoming workload to improve data centre behaviour. The evaluation of the quality of synthetically generated multivariate time-series datasets, such as those related to data-centre traces, is not a trivial task, since complex patterns and correlation between variables may be present. This paper proposes a new multivariate time-series evaluation framework that computes a set of metrics and figures that can be used to measure the quality of synthetically generated data-centre traces. We then employ the proposed tool to compare two synthetic data centre traces with the original trace and assess their quality. These synthetic traces have been generated by means of Generative Adversarial Networks (GAN). In this work, we employ TimeGAN, a GAN model focused on the generation of multivariate time series traces. We finally show how the proposed framework provides us with a set of metrics consistent with the observable behaviour and numerical insights on the quality of the generated data centre traces, which are hard to acquire otherwise. © ECMS Enrico Vicario, Romeo Bandinelli, Virginia Fani, Michele Mastroianni (Editors) 2023.</t>
  </si>
  <si>
    <t>https://www.scopus.com/inward/record.uri?eid=2-s2.0-85163538197&amp;partnerID=40&amp;md5=71305824b0ec4f224eea296cca371d96</t>
  </si>
  <si>
    <t>Deep Generative Models for Synthetic Data: A Survey</t>
  </si>
  <si>
    <t>Eigenschink, P.; Reutterer, T.; Vamosi, S.; Vamosi, R.; Sun, C.; Kalcher, K.</t>
  </si>
  <si>
    <t>Artificial intelligence; big data; deep learning; generative models; neural networks; privacy; synthetic data</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</si>
  <si>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 © 2013 IEEE.</t>
  </si>
  <si>
    <t>https://www.scopus.com/inward/record.uri?eid=2-s2.0-85159813418&amp;partnerID=40&amp;md5=0c41c4d14073d41614cabbfc2b19d4a7</t>
  </si>
  <si>
    <t>Generation of Synthetic Tabular Healthcare Data Using Generative Adversarial Networks</t>
  </si>
  <si>
    <t>Nik, A.H.Z.; Riegler, M.A.; Halvorsen, P.; Storas, A.M.</t>
  </si>
  <si>
    <t>Deep learning; Medical data; Synthetic data generation</t>
  </si>
  <si>
    <t>High-quality tabular data is a crucial requirement for developing data-driven applications, especially healthcare-related ones, because most of the data nowadays collected in this context is in tabular form. However, strict data protection laws complicates the access to medical datasets. Thus, synthetic data has become an ideal alternative for data scientists and healthcare professionals to circumvent such hurdles. Although many healthcare institutions still use the classical de-identification and anonymization techniques for generating synthetic data, deep learning-based generative models such as generative adversarial networks (GANs) have shown a remarkable performance in generating tabular datasets with complex structures. This paper examines the GANs’ potential and applicability within the healthcare industry, which often faces serious challenges with insufficient training data and patient records sensitivity. We investigate several state-of-the-art GAN-based models proposed for tabular synthetic data generation. Healthcare datasets with different sizes, numbers of variables, column data types, feature distributions, and inter-variable correlations are examined. Moreover, a comprehensive evaluation framework is defined to evaluate the quality of the synthetic records and the viability of each model in preserving the patients’ privacy. The results indicate that the proposed models can generate synthetic datasets that maintain the statistical characteristics, model compatibility and privacy of the original data. Moreover, synthetic tabular healthcare datasets can be a viable option in many data-driven applications. However, there is still room for further improvements in designing a perfect architecture for generating synthetic tabular data. © 2023, The Author(s), under exclusive license to Springer Nature Switzerland AG.</t>
  </si>
  <si>
    <t>https://www.scopus.com/inward/record.uri?eid=2-s2.0-85152531114&amp;partnerID=40&amp;md5=e4d3f00071b87ca3108ba4bc3885176e</t>
  </si>
  <si>
    <t>The potential synergies between synthetic data and in silico trials in relation to generating representative virtual population cohorts</t>
  </si>
  <si>
    <t>Myles, P.; Ordish, J.; Tucker, A.</t>
  </si>
  <si>
    <t>in silico trials; medical devices; synthetic data</t>
  </si>
  <si>
    <t>In silico trial methods promise to improve the path to market for both medicines and medical devices, targeting the development of products, reducing reliance on animal trials, and providing adjunct evidence to bolster regulatory submissions. In silico trials are only as good as the simulated data which underpins them, consequently, often the most difficult challenge when creating robust in silico models is the generation of simulated measurements or even virtual patients that are representative of real measurements and patients. This article digests the current state of the art for generating synthetic patient data outside the context of in silico trials and outlines potential synergies to unlock the potential of in silico trials using virtual populations, by exploiting synthetic patient data to model effects on a more diverse and representative population. Synthetic data could be defined as artificial data that mimic the properties and relationships in real data. Recent advances in synthetic data generation methodologies have allowed for the generation of high-fidelity synthetic data that are both statistically and clinically, indistinguishable from real patient data. Other experimental work has demonstrated that synthetic data generation methods can be used for selective sample boosting of underrepresented groups. This article will provide a brief outline of synthetic data generation approaches and discuss how evaluation frameworks developed to assess synthetic data fidelity and utility could be adapted to evaluate the similarity of virtual patients used for in silico trials, to real patients. The article will then discuss outstanding challenges and areas for further research that would advance both synthetic data generation methods and in silico trial methods. Finally, the article will also provide a perspective on what evidence will be required to facilitate wider acceptance of in silico trials for regulatory evaluation of medicines and medical devices, including implications for post marketing safety surveillance. © 2023 Crown copyright, Medicines and Healthcare Products Regulatory Agency.</t>
  </si>
  <si>
    <t>https://www.scopus.com/inward/record.uri?eid=2-s2.0-85147192442&amp;partnerID=40&amp;md5=83c499bb8a31365dfb79f49a52a5e6e2</t>
  </si>
  <si>
    <t>GAN-Based Approaches for Generating Structured Data in the Medical Domain</t>
  </si>
  <si>
    <t>Abedi, M.; Hempel, L.; Sadeghi, S.; Kirsten, T.</t>
  </si>
  <si>
    <t>data enlargement; data evaluation; GANs; synthetic data generation</t>
  </si>
  <si>
    <t>Modern machine and deep learning methods require large datasets to achieve reliable and robust results. This requirement is often difficult to meet in the medical field, due to data sharing limitations imposed by privacy regulations or the presence of a small number of patients (e.g., rare diseases). To address this data scarcity and to improve the situation, novel generative models such as Generative Adversarial Networks (GANs) have been widely used to generate synthetic data that mimic real data by representing features that reflect health-related information without reference to real patients. In this paper, we consider several GAN models to generate synthetic data used for training binary (malignant/benign) classifiers, and compare their performances in terms of classification accuracy with cases where only real data are considered. We aim to investigate how synthetic data can improve classification accuracy, especially when a small amount of data is available. To this end, we have developed and implemented an evaluation framework where binary classifiers are trained on extended datasets containing both real and synthetic data. The results show improved accuracy for classifiers trained with generated data from more advanced GAN models, even when limited amounts of original data are available. © 2022 by the authors.</t>
  </si>
  <si>
    <t>https://www.scopus.com/inward/record.uri?eid=2-s2.0-85137361846&amp;partnerID=40&amp;md5=44a053c037dfc01e34a6acc7a0a5688e</t>
  </si>
  <si>
    <t>Are the statistical tests the best way to deal with the biomarker selection problem?</t>
  </si>
  <si>
    <t>Urkullu, A.; Pérez, A.; Calvo, B.</t>
  </si>
  <si>
    <t>Biomarker selection; Differential methylation detection; Reproducibility; Statistical tests</t>
  </si>
  <si>
    <t>Statistical tests are a powerful set of tools when applied correctly, but unfortunately the extended misuse of them has caused great concern. Among many other applications, they are used in the detection of biomarkers so as to use the resulting p-values as a reference with which the candidate biomarkers are ranked. Although statistical tests can be used to rank, they have not been designed for that use. Moreover, there is no need to compute any p-value to build a ranking of candidate biomarkers. Those two facts raise the question of whether or not alternative methods which are not based on the computation of statistical tests that match or improve their performances can be proposed. In this paper, we propose two alternative methods to statistical tests. In addition, we propose an evaluation framework to assess both statistical tests and alternative methods in terms of both the performance and the reproducibility. The results indicate that there are alternative methods that can match or surpass methods based on statistical tests in terms of the reproducibility when processing real data, while maintaining a similar performance when dealing with synthetic data. The main conclusion is that there is room for the proposal of such alternative methods. © 2022, The Author(s).</t>
  </si>
  <si>
    <t>https://www.scopus.com/inward/record.uri?eid=2-s2.0-85129563621&amp;partnerID=40&amp;md5=38c8720ddbcf6f40bb8f5c22935d0e2d</t>
  </si>
  <si>
    <t>Generation and Evaluation of Synthetic Data in a University Hospital Setting</t>
  </si>
  <si>
    <t>Kaabachi, B.; Despraz, J.; Meurers, T.; Prasser, F.; Raisaro, J.L.</t>
  </si>
  <si>
    <t>Generative Adversarial Networks; Medical Research; Privacy; Synthetic Data</t>
  </si>
  <si>
    <t>In this study, we propose a unified evaluation framework for systematically assessing the utility-privacy trade-off of synthetic data generation (SDG) models. These SDG models are adapted to deal with longitudinal or tabular data stemming from electronic health records (EHR) containing both discrete and numeric features. Our evaluation framework considers different data sharing scenarios and attacker models. © 2022 European Federation for Medical Informatics (EFMI) and IOS Press.</t>
  </si>
  <si>
    <t>https://www.scopus.com/inward/record.uri?eid=2-s2.0-85131107139&amp;partnerID=40&amp;md5=ced22ab2698b4bab4bfcbe983f0f8081</t>
  </si>
  <si>
    <t>A Dataset Generation Framework for Evaluating Megapixel Image Classifiers and Their Explanations</t>
  </si>
  <si>
    <t>Machiraju, G.; Plevritis, S.; Mallick, P.</t>
  </si>
  <si>
    <t>Coarse supervision; eXplainable AI; Interpretable ML; Megapixel imagery; Model selection; Salient object detection; Synthetic data</t>
  </si>
  <si>
    <t>Deep learning-based megapixel image classifiers have exceptional prediction performance in a number of domains, including clinical pathology. However, extracting reliable, human-interpretable model explanations has remained challenging. Because real-world megapixel images often contain latent image features highly correlated with image labels, it is difficult to distinguish correct explanations from incorrect ones. Furthering this issue are the flawed assumptions and designs of today’s classifiers. To investigate classification and explanation performance, we introduce a framework to (a) generate synthetic control images that reflect common properties of megapixel images and (b) evaluate average test-set correctness. By benchmarking two commonplace Convolutional Neural Networks (CNNs), we demonstrate how this interpretability evaluation framework can inform architecture selection beyond classification performance—in particular, we show that a simple Attention-based architecture identifies salient objects in all seven scenarios, while a standard CNN fails to do so in six scenarios. This work carries widespread applicability to any megapixel imaging domain. © 2022, The Author(s), under exclusive license to Springer Nature Switzerland AG.</t>
  </si>
  <si>
    <t>https://www.scopus.com/inward/record.uri?eid=2-s2.0-85142673542&amp;partnerID=40&amp;md5=b0b5cb02dafd0828bd1e41dddaa01928</t>
  </si>
  <si>
    <t>Privacy-Preserving Synthetic Educational Data Generation</t>
  </si>
  <si>
    <t>Vie, J.-J.; Rigaux, T.; Minn, S.</t>
  </si>
  <si>
    <t>Generative models; Item response theory; Privacy</t>
  </si>
  <si>
    <t>Institutions collect massive learning traces but they may not disclose it for privacy issues. Synthetic data generation opens new opportunities for research in education. In this paper we present a generative model for educational data that can preserve the privacy of participants, and an evaluation framework for comparing synthetic data generators. We show how naive pseudonymization can lead to re-identification threats and suggest techniques to guarantee privacy. We evaluate our method on existing massive educational open datasets. © 2022, The Author(s), under exclusive license to Springer Nature Switzerland AG.</t>
  </si>
  <si>
    <t>https://www.scopus.com/inward/record.uri?eid=2-s2.0-85137996478&amp;partnerID=40&amp;md5=3c2d060923858a0fe2878808ab707503</t>
  </si>
  <si>
    <t>Quantifying Changes in Predictions of Classification Models for Data Streams</t>
  </si>
  <si>
    <t>Grzenda, M.</t>
  </si>
  <si>
    <t>Classification; Data stream; Delayed labels; Evaluation</t>
  </si>
  <si>
    <t>Evaluation methods for data stream classification have frequently been focused on how available data are used for learning a model and for its performance assessment, with major emphasis on the difference between predicted and true labels. More recently, growing interest in delayed labelling evaluation has resulted in the evaluation of multiple predictions made by an evolving model for an instance before its true label arrival. Still, under this setting predictions are also compared with true labels rather than changes in predictions focused on. In this study, we aim to provide an intuitive evaluation framework to quantify changes in predictions made over time for the same input instances by evolving classification models. The primary motivation is to gain insight into the impact of the evolution of a classification model on the changes in decision boundaries, which may effectively re-assign the instances to other classes. The prediction change measures proposed in this study make it possible to reveal the scale of such changes. Furthermore, the notions of volatility of predictions and productive volatility are proposed and quantified. Results for a number of real and synthetic data streams show that similar accuracy of the models can be accompanied by significantly different volatility of predictions made by these models. © 2022, The Author(s), under exclusive license to Springer Nature Switzerland AG.</t>
  </si>
  <si>
    <t>https://www.scopus.com/inward/record.uri?eid=2-s2.0-85128715239&amp;partnerID=40&amp;md5=8238fd08572d66dbec49989a92c16fce</t>
  </si>
  <si>
    <t>A Framework for Testing and Evaluation of Operational Performance of Multi-UAV Systems</t>
  </si>
  <si>
    <t>Sarkar, M.; Yan, X.; Nateghi, S.; Holmes, B.J.; Vamvoudakis, K.G.; Homaifar, A.</t>
  </si>
  <si>
    <t>Autonomous behavioral testing; Bi-LSTM; Cognitive systems; Multi-UAV testing; Physical flight testing; ROS; Test and evaluation</t>
  </si>
  <si>
    <t>In this paper, we propose a data-driven testing and evaluation framework for multi-UAVs to evaluate their performance in executing missions in the physical world. Seven micro-behaviors, termed here as modes of operation, are leveraged to describe the autonomous functionalities of the UAVs. These functionalities are then used to design five scenarios for model training, validation and testing of the proposed framework. Each scenario includes a distinct sequence of behaviors for the UAVs in order for the different autonomous functionalities to be evaluated. We develop and implement a simulation environment using the Robot Operating System (ROS), Gazebo, and the Pixhawk autopilot to generate synthetic data for the training of a classification model. This trained model is then utilized to evaluate the behaviors of the UAVs while performing real-world missions. Finally, the proposed framework is tested using synthetic data generated from a simulation environment and validated using real-world data. © 2022, The Author(s), under exclusive license to Springer Nature Switzerland AG.</t>
  </si>
  <si>
    <t>https://www.scopus.com/inward/record.uri?eid=2-s2.0-85113224894&amp;partnerID=40&amp;md5=41bc7c3c729bbbffc6c30ef6ee0bd60f</t>
  </si>
  <si>
    <t>CANarEx: Contextually Aware Narrative Extraction for Semantically Rich Text-as-data Applications</t>
  </si>
  <si>
    <t>Anantharama, N.; Angus, S.D.; O'Neill, L.</t>
  </si>
  <si>
    <t>Narrative modelling is an area of active research, motivated by the acknowledgement of narratives as drivers of societal decision making. These research efforts conceptualize narratives as connected entity chains, and modeling typically focuses on the identification of entities and their connections within a text. An emerging approach to narrative modelling is the use of semantic role labeling (SRL) to extract Entity-Verb-Entity (E-V-Es) tuples from a text, followed by dimensionality reduction to reduce the space of entities and connections separately. This process penalises the semantic richness of narratives and discards much contextual information along the way. Here, we propose an alternate narrative extraction approach - CANarEx, incorporating a pipeline of common contextual constructs through coreference resolution, micro-narrative generation and clustering of these narratives through sentence embeddings. We evaluate our approach through testing the recovery of "narrative time-series clusters", mimicking a desirable text-as-data task. The evaluation framework leverages synthetic data generated using a GPT-3 model. The GPT-3 model is trained to generate similar sentences using a large dataset of news articles. The synthetic data maps to three topics in the news dataset. We then generate narrative time-series document cluster representations by mapping the synthetic data to three distinct signals synthetically injected into the testing corpus. Evaluation results demonstrate the superior ability of CANarEx to recover narrative time-series through reduced MSE and improved precision/recall relative to existing methods. The validity is further reinforced through ablation studies and qualitative analysis. © 2022 Association for Computational Linguistics.</t>
  </si>
  <si>
    <t>https://www.scopus.com/inward/record.uri?eid=2-s2.0-105001070498&amp;partnerID=40&amp;md5=c3101eb08332ce5e673f6cfdfad6a783</t>
  </si>
  <si>
    <t>Generative Adversarial Networks (GANs) in networking: A comprehensive survey &amp; evaluation</t>
  </si>
  <si>
    <t>Navidan, H.; Fard Moshiri, P.F.; Nabati, M.; Shahbazian, R.; Ghorashi, S.A.; Shah-Mansouri, V.; Windridge, D.</t>
  </si>
  <si>
    <t>Communication networks; Computer networks; Deep learning; Generative Adversarial Networks; Semi-supervised learning</t>
  </si>
  <si>
    <t>Despite the recency of their conception, Generative Adversarial Networks (GANs) constitute an extensively-researched machine learning sub-field for the creation of synthetic data through deep generative modeling. GANs have consequently been applied in a number of domains, most notably computer vision, in which they are typically used to generate or transform synthetic images. Given their relative ease of use, it is therefore natural that researchers in the field of networking (which has seen extensive application of deep learning methods) should take an interest in GAN-based approaches. The need for a comprehensive survey of such activity is therefore urgent. In this paper, we demonstrate how this branch of machine learning can benefit multiple aspects of computer and communication networks, including mobile networks, network analysis, internet of things, physical layer, and cybersecurity. In doing so, we shall provide a novel evaluation framework for comparing the performance of different models in non-image applications, applying this to a number of reference network datasets. © 2021 Elsevier B.V.</t>
  </si>
  <si>
    <t>https://www.scopus.com/inward/record.uri?eid=2-s2.0-85105870509&amp;partnerID=40&amp;md5=33bccb83b4c61f708bacf4c9f926d906</t>
  </si>
  <si>
    <t>Benchmarks for Unsupervised Discourse Change Detection</t>
  </si>
  <si>
    <t>Duong, Q.; Pivovarova, L.; Zosa, E.</t>
  </si>
  <si>
    <t>Discourse dynamic; Neural network; News monitoring; Pattern detection; Pivots detection; Quantitative evaluation; Sequence to Sequence; Synthetic data; Unsupervised</t>
  </si>
  <si>
    <t>The main motivation for this work lies in the need to track discourse dynamics in historical corpora. However, in many real use cases ground truth is not available and annotating discourses on a corpus-level is hardly possible. We propose a novel procedure to generate synthetic datasets for this task, a novel evaluation framework and a set of benchmarking models. Finally, we run large-scale experiments using these synthetic datasets and demonstrate that a model trained on such a dataset can obtain meaningful results when applied to a real dataset, without any adjustments of the model. © 2021 CEUR-WS. All rights reserved.</t>
  </si>
  <si>
    <t>https://www.scopus.com/inward/record.uri?eid=2-s2.0-85117887254&amp;partnerID=40&amp;md5=c09223948dd121f99cf4c2fff018f137</t>
  </si>
  <si>
    <t>Statistical Comparative Analysis and Evaluation of Validation Indices for Clustering Optimization</t>
  </si>
  <si>
    <t>Nguyen, T.; Viehman, J.; Yeboah, D.; Olbricht, G.R.; Obafemi-Ajayi, T.</t>
  </si>
  <si>
    <t>clustering; statistical analysis; validation indices</t>
  </si>
  <si>
    <t>Clustering is a relevant exploratory tool for a broad range of machine learning applications as it aids identification of meaningful subgroups. For a given clustering algorithm, multiple partitions can be obtained on the same data set by varying algorithmic parameters. Internal validation indices provide a means to objectively evaluate how well groupings obtained from a clustering configuration partitions the data, since there is no prior labeled data. This work presents a rigorous statistical evaluation framework that analyzes performance of internal validation indices based on correlation with external indices. A synthetic data generator that captures a wide range of complexity is proposed. Evaluation is conducted on a varied set of synthetic data types and real data sets to investigate performance of the indices. © 2020 IEEE.</t>
  </si>
  <si>
    <t>https://www.scopus.com/inward/record.uri?eid=2-s2.0-85099714487&amp;partnerID=40&amp;md5=2ca465787046442d319648234ccc76a8</t>
  </si>
  <si>
    <t>TruPercept: Trust Modelling for Autonomous Vehicle Cooperative Perception from Synthetic Data</t>
  </si>
  <si>
    <t>Hurl, B.; Cohen, R.; Czarnecki, K.; Waslander, S.</t>
  </si>
  <si>
    <t>Inter-vehicle communication for autonomous vehicles (AVs) stands to provide significant benefits in terms of perception robustness. We propose a novel approach for AVs to communicate perceptual observations, tempered by trust modelling of peers providing reports. Based on the accuracy of reported object detections as verified locally, communicated messages can be fused to augment perception performance beyond line of sight and at great distance from the ego vehicle. Also presented is a new synthetic dataset which can be used to test cooperative perception. The TruPercept dataset includes unreliable and malicious behaviour scenarios to experiment with some challenges cooperative perception introduces. The TruPercept runtime and evaluation framework allows modular component replacement to facilitate ablation studies as well as the creation of new trust scenarios we are able to show. © 2020 IEEE.</t>
  </si>
  <si>
    <t>https://www.scopus.com/inward/record.uri?eid=2-s2.0-85091118254&amp;partnerID=40&amp;md5=efba84b83f0d8784bf9fe193d5e497a0</t>
  </si>
  <si>
    <t>Scopus-1</t>
  </si>
  <si>
    <t>Scopus-2</t>
  </si>
  <si>
    <t>Scopus-3</t>
  </si>
  <si>
    <t>Scopus-4</t>
  </si>
  <si>
    <t>Scopus-5</t>
  </si>
  <si>
    <t>Scopus-6</t>
  </si>
  <si>
    <t>Scopus-7</t>
  </si>
  <si>
    <t>Scopus-8</t>
  </si>
  <si>
    <t>Scopus-9</t>
  </si>
  <si>
    <t>Scopus-10</t>
  </si>
  <si>
    <t>Scopus-11</t>
  </si>
  <si>
    <t>Scopus-12</t>
  </si>
  <si>
    <t>Scopus-13</t>
  </si>
  <si>
    <t>Scopus-14</t>
  </si>
  <si>
    <t>Scopus-15</t>
  </si>
  <si>
    <t>Scopus-16</t>
  </si>
  <si>
    <t>Scopus-17</t>
  </si>
  <si>
    <t>Scopus-18</t>
  </si>
  <si>
    <t>Scopus-19</t>
  </si>
  <si>
    <t>Scopus-20</t>
  </si>
  <si>
    <t>Scopus-21</t>
  </si>
  <si>
    <t>Scopus-22</t>
  </si>
  <si>
    <t>Scopus-23</t>
  </si>
  <si>
    <t>Scopus-24</t>
  </si>
  <si>
    <t>Scopus-25</t>
  </si>
  <si>
    <t>Scopus-26</t>
  </si>
  <si>
    <t>Scopus-27</t>
  </si>
  <si>
    <t>Scopus-28</t>
  </si>
  <si>
    <t>Scopus-29</t>
  </si>
  <si>
    <t>Scopus-30</t>
  </si>
  <si>
    <t>Scopus-31</t>
  </si>
  <si>
    <t>Scopus-32</t>
  </si>
  <si>
    <t>Scopus-33</t>
  </si>
  <si>
    <t>Scopus-34</t>
  </si>
  <si>
    <t>Scopus-35</t>
  </si>
  <si>
    <t>Scopus-36</t>
  </si>
  <si>
    <t>Scopus-37</t>
  </si>
  <si>
    <t>Scopus-38</t>
  </si>
  <si>
    <t>Scopus-39</t>
  </si>
  <si>
    <t>Scopus-40</t>
  </si>
  <si>
    <t>Scopus-41</t>
  </si>
  <si>
    <t>Scopus-42</t>
  </si>
  <si>
    <t>Scopus-43</t>
  </si>
  <si>
    <t>Scopus-44</t>
  </si>
  <si>
    <t>Scopus-45</t>
  </si>
  <si>
    <t>Scopus-46</t>
  </si>
  <si>
    <t>Scopus-47</t>
  </si>
  <si>
    <t>Scopus-48</t>
  </si>
  <si>
    <t>Scopus-49</t>
  </si>
  <si>
    <t>Scopus-50</t>
  </si>
  <si>
    <t>Scopus-51</t>
  </si>
  <si>
    <t>Scopus-52</t>
  </si>
  <si>
    <t>Scopus-53</t>
  </si>
  <si>
    <t>Scopus-54</t>
  </si>
  <si>
    <t>Scopus-55</t>
  </si>
  <si>
    <t>Scopus-56</t>
  </si>
  <si>
    <t>Scopus-57</t>
  </si>
  <si>
    <t>Scopus-58</t>
  </si>
  <si>
    <t>Scopus-59</t>
  </si>
  <si>
    <t>Scopus-60</t>
  </si>
  <si>
    <t>Scopus-61</t>
  </si>
  <si>
    <t>Scopus-62</t>
  </si>
  <si>
    <t>Scopus-63</t>
  </si>
  <si>
    <t>Scopus-64</t>
  </si>
  <si>
    <t>Scopus-65</t>
  </si>
  <si>
    <t>Scopus-66</t>
  </si>
  <si>
    <t>Scopus-67</t>
  </si>
  <si>
    <t>Scopus-68</t>
  </si>
  <si>
    <t>Scopus-69</t>
  </si>
  <si>
    <t>Scopus-70</t>
  </si>
  <si>
    <t>Scopus-71</t>
  </si>
  <si>
    <t>Scopus-72</t>
  </si>
  <si>
    <t>An Evaluation Framework for Synthetic Data Generation Models</t>
  </si>
  <si>
    <t>Livieris, IE; Alimpertis, N; Domalis, G; Tsakalidis, D</t>
  </si>
  <si>
    <t>Nowadays, the use of synthetic data has gained popularity as a cost-efficient strategy for enhancing data augmentation for improving machine learning models performance as well as addressing concerns related to sensitive data privacy. Therefore, the necessity of ensuring quality of generated synthetic data, in terms of accurate representation of real data, consists of primary importance. In this work, we present a new framework for evaluating synthetic data generation models' ability for developing high-quality synthetic data. The proposed approach is able to provide strong statistical and theoretical information about the evaluation framework and the compared models' ranking. Two use case scenarios demonstrate the applicability of the proposed framework for evaluating the ability of synthetic data generation models to generated high quality data.</t>
  </si>
  <si>
    <t>Syntheval: a framework for detailed utility and privacy evaluation of tabular synthetic data</t>
  </si>
  <si>
    <t>Lautrup, AD; Hyrup, T; Zimek, A; Schneider-Kamp, P</t>
  </si>
  <si>
    <t>With the growing demand for synthetic data to address contemporary issues in machine learning, such as data scarcity, data fairness, and data privacy, having robust tools for assessing the utility and potential privacy risks of such data becomes crucial. SynthEval, a novel open-source evaluation framework distinguishes itself from existing tools by treating categorical and numerical attributes with equal care, without assuming any special kind of preprocessing steps. This makes it applicable to virtually any synthetic dataset of tabular records. Our tool leverages statistical and machine learning techniques to comprehensively evaluate synthetic data fidelity and privacy-preserving integrity. SynthEval integrates a wide selection of metrics that can be used independently or in highly customisable benchmark configurations, and can easily be extended with additional metrics. In this paper, we describe SynthEval and illustrate its versatility with examples. The framework facilitates better benchmarking and more consistent comparisons of model capabilities.</t>
  </si>
  <si>
    <t>Kurakova, A; Homayouni, H</t>
  </si>
  <si>
    <t>Machine learning (ML) applications have enabled significant advancements in healthcare, such as predicting pandemics, personalizing treatments, and developing life-saving drugs. However, ML model training requires large datasets, which are difficult to obtain in healthcare due to privacy concerns. Synthetic data generation offers a promising solution by providing access to large-scale training data while protecting patient privacy. Our research focuses on tabular medical data, the predominant format for Electronic Health Records (EHRs), and introduces a comprehensive evaluation framework that assesses synthetic data in four critical dimensions: quality, privacy, usability, and computational complexity of the data generation process. The framework ensures that synthetic data maintains sufficient similarity to real data for ML applications while preserving patient confidentiality. To validate our approach, we applied six state-of-the-art (SOTA) generative models to generate synthetic medical datasets and evaluated them within our framework. In contrast to conventional approaches that focus primarily on statistical similarity, our framework provides a broader assessment that incorporates outlier detection, privacy risks, and domain-specific constraints. Our findings demonstrate that our framework can identify critical shortcomings in synthetic data generation models, such as the amplification of duplicate rows and the generation of out-of-range values, which are overlooked by traditional statistical evaluation methods. Our implementation of the framework is available at: https://github.com/akurakova/SDE_Framework</t>
  </si>
  <si>
    <t>Souid, HE; Ody, L; Achenchabe, Y; Lemaire, V; Aversano, G; Skhiri, S</t>
  </si>
  <si>
    <t>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t>
  </si>
  <si>
    <t>Roles of Artificial Intelligence-Based Synthetic Data in Health Economics and Outcomes Research</t>
  </si>
  <si>
    <t>Lai, TC; Ngorsuraches, S</t>
  </si>
  <si>
    <t>Objectives: We aim to raise awareness of potential applications of synthetic data within the health economics and outcomes research (HEOR) community. Methods: We provide a concise overview of synthetic data, including data generation and types. We then discuss 3 major data-associated challenges and how synthetic data may be used to address them. Finally, we discuss data utility, privacy protection, potential concerns of its applicability, and future research direction. Results: The use of synthetic data is an alternative privacy protection technique to enhance data availability, strengthen the robustness of findings for underrepresented populations, and alleviate data insufficiency issues in rare disease research. More studies are needed to explore synthetic data use and address data challenges in HEOR studies. Furthermore, the development of an evaluation framework is encouraged to better support the integration of synthetic data into the HEOR field. Conclusions: Synthetic data provide a unique opportunity to overcome data-related challenges in HEOR.</t>
  </si>
  <si>
    <t>Vie, JJ; Rigaux, T; Minn, S</t>
  </si>
  <si>
    <t>Institutions collect massive learning traces but they may not disclose it for privacy issues. Synthetic data generation opens new opportunities for research in education. In this paper we present a generative model for educational data that can preserve the privacy of participants, and an evaluation framework for comparing synthetic data generators. We show how naive pseudonymization can lead to re-identification threats and suggest techniques to guarantee privacy. We evaluate our method on existing massive educational open datasets.</t>
  </si>
  <si>
    <t>Veeraragavan, NR; Tabatabaei, MH; Elvatun, S; Vallevik, VB; Laronningen, S; Nygård, JF</t>
  </si>
  <si>
    <t>Synthetic data generation is increasingly recognized as crucial in addressing data-related challenges such as scarcity, bias, and privacy concerns. As synthetic data proliferates, the need for a robust evaluation framework to select a synthetic data generator becomes more pressing given the variety of options available. In this study, we investigate two primary questions: 1) How can we select the most suitable synthetic data generator from a set of options for a specific purpose? 2) How can we make the selection process more transparent, accountable, and auditable? To address these questions, we introduce a novel approach where the proposed ranking algorithm is implemented as a smart contract within a permissioned blockchain framework. Through comprehensive experiments and comparisons with state-of-the-art baseline ranking solutions, our framework demonstrates its effectiveness in providing nuanced rankings that consider both desirable and undesirable properties. Furthermore, our framework serves as a valuable tool for selecting the optimal synthetic data generators for specific needs while ensuring compliance with data protection principles.</t>
  </si>
  <si>
    <t>Budu, E; Soliman, A; Etminani, K; Rögnvaldsson, T</t>
  </si>
  <si>
    <t>Synthetic data generation can be applied to Electronic Health Records (EHRs) to obtain synthetic versions that do not compromise patients' privacy. However, the proliferation of synthetic data generation techniques has led to the introduction of a wide variety of methods for evaluating the quality of generated data. This makes the task of evaluating generated data from different models challenging as there is no consensus on the methods used. Hence the need for standard ways of evaluating the generated data. In addition, the available methods do not assess whether dependencies between different variables are maintained in the synthetic data. Furthermore, synthetic time series EHRs (patient encounters) are not well investigated, as the available methods do not consider the temporality of patient encounters. In this work, we present an overview of evaluation methods and propose an evaluation framework to guide the evaluation of synthetic EHRs.</t>
  </si>
  <si>
    <t>Manjarr s, D; Ispizua, B; Ni o-Adan, I</t>
  </si>
  <si>
    <t>In last years decision-making Machine Leaning (ML) approaches have evolved from traditional methods to evidence-based approaches, particularly in healthcare sector. However, sharing data with third parties raises significant security and privacy concerns. To address these issues, researchers have explored data anonymization, distributed privacypreserving data mining, and synthetic data generation (SDG). SDG, in particular, shows promise in enabling secure data sharing while preserving privacy, crucial for developing advanced AI models. This paper focuses on Metabolic Syndrome (MetS) data, a condition affecting a significant portion of the population, and investigates various synthetic tabular data generation (STDG)techniques. It evaluates the performance of an AutoML approach for predicting MetS using different percentages of synthetic data assessed through a specific evaluation framework. Moreover, presents an explainability and feature relevance analysis of the proposed STDG methods.</t>
  </si>
  <si>
    <t>Eigenschink, P; Reutterer, T; Vamosi, S; Vamosi, R; Sun, C; Kalcher, K</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</si>
  <si>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t>
  </si>
  <si>
    <t>Abedi, M; Hempel, L; Sadeghi, S; Kirsten, T</t>
  </si>
  <si>
    <t>Modern machine and deep learning methods require large datasets to achieve reliable and robust results. This requirement is often difficult to meet in the medical field, due to data sharing limitations imposed by privacy regulations or the presence of a small number of patients (e.g., rare diseases). To address this data scarcity and to improve the situation, novel generative models such as Generative Adversarial Networks (GANs) have been widely used to generate synthetic data that mimic real data by representing features that reflect health-related information without reference to real patients. In this paper, we consider several GAN models to generate synthetic data used for training binary (malignant/benign) classifiers, and compare their performances in terms of classification accuracy with cases where only real data are considered. We aim to investigate how synthetic data can improve classification accuracy, especially when a small amount of data is available. To this end, we have developed and implemented an evaluation framework where binary classifiers are trained on extended datasets containing both real and synthetic data. The results show improved accuracy for classifiers trained with generated data from more advanced GAN models, even when limited amounts of original data are available.</t>
  </si>
  <si>
    <t>Cordeiro, MC; Cathain, CO; Daly, L; Kelly, DT; Rodrigues, TB</t>
  </si>
  <si>
    <t>Introduction Athlete performance monitoring is effective for optimizing training strategies and preventing injuries. However, applying machine learning (ML) frameworks to this domain remains challenging due to data scarcity limitations. This study extends previous research by evaluating Tabular Variational Autoencoders (TVAE) for generating synthetic data to predict performance attenuation in Gaelic football athletes.Methods This study assesses synthetic data quality through a comprehensive evaluation framework combining column shape similarity metrics and Hellinger distance analysis, quantifying distributional fidelity across individual variables. Our ML implementation follows a two-phase approach. In the first phase, we evaluated models trained on hybrid datasets with varying synthetic proportions (10%-100%). In the second phase, we examined models trained exclusively on synthetic data and tested them on real data to analyze the utility of the synthetic data.Results Our results demonstrate that TVAE-generated synthetic data closely replicates original distribution patterns, achieving 85.53% column shape similarity and a Hellinger distance of 0.169. Models trained with additional synthetic data or exclusively on synthetic data outperformed real-data baselines across multiple metrics, particularly for neuromuscular parameters. Our findings emphasize that this approach increased data availability and improved model performance in specific scenarios.Discussion Several limitations remain: (1) there is limited framework transferability to sports with different physiological demands; (2) the Synthetic Data Generation (SDG) does not currently enforce feature constraints, and future implementations must ensure the procedure respects domain-specific feature limits; and (3) TVAE faced data fidelity challenges with certain variables, such as VO2max. These findings demonstrate the utility of synthetic data for predicting performance attenuation in Gaelic Football athletes. They address the challenge of data scarcity and highlight how synthetic data can be effectively integrated across physiological, neuromuscular, and perceptual metrics in athlete monitoring. This opens new possibilities for exploring similar classification tasks in sports performance analysis.</t>
  </si>
  <si>
    <t>Lv, PF; Chen, WY; Zou, XY</t>
  </si>
  <si>
    <t>Data augmentation plays a crucial role in data-driven geoscience research by minimizing sampling costs and improving the generalization and predictive accuracy of models utilized in mineral exploration and oil and gas development. Although geoscience data are predominantly structured in tabular form, research focused on the augmentation of such structured data remains in its nascent stages. This study seeks to address two fundamental questions: 1) is it feasible to generate realistic synthetic data when only a limited amount of labeled data are available? and 2) what criteria can be established to evaluate synthetic data to ensure it contributes positively to model performance? To this end, we introduce the geological tabular data generative adversarial network (Geo-TabGAN) model and propose a comprehensive evaluation framework. Experimental results derived from core analysis data of the Bayan Obo deposit in Inner Mongolia indicate that the integration of synthetic data led to improvements exceeding 5% in the average accuracy, precision, recall, $F1$ score, and Matthews correlation coefficient (MCC) across three classifiers. This methodology significantly enhances the efficacy of big data analysis and predictive modeling within the geoscience domain.</t>
  </si>
  <si>
    <t>Nguyen, T; Vichman, J; Yeboah, D; Olbricht, GR; Obafemi-Ajayi, T</t>
  </si>
  <si>
    <t>Clustering is a relevant exploratory tool for a broad range of machine learning applications as it aids identification of meaningful subgroups. For a given clustering algorithm, multiple partitions can be obtained on the same data set by varying algorithmic parameters. Internal validation indices provide a means to objectively evaluate how well groupings obtained from a clustering configuration partitions the data, since there is no prior labeled data. This work presents a rigorous statistical evaluation framework that analyzes performance of internal validation indices based on correlation with external indices. A synthetic data generator that captures a wide range of complexity is proposed. Evaluation is conducted on a varied set of synthetic data types and real data sets to investigate performance of the indices.</t>
  </si>
  <si>
    <t>Pereira, M; Kshirsagar, M; Mukherjee, S; Dodhia, R; Ferres, JL; de Sousa, R</t>
  </si>
  <si>
    <t>Differentially private (DP) synthetic datasets are a solution for sharing data while preserving the privacy of individual data providers. Understanding the effects of utilizing DP synthetic data in end-to-end machine learning pipelines impacts areas such as health care and humanitarian action, where data is scarce and regulated by restrictive privacy laws. In this work, we investigate the extent to which synthetic data can replace real, tabular data in machine learning pipelines and identify the most effective synthetic data generation techniques for training and evaluating machine learning models. We systematically investigate the impacts of differentially private synthetic data on downstream classification tasks from the point of view of utility as well as fairness. Our analysis is comprehensive and includes representatives of the two main types of synthetic data generation algorithms: marginal-based and GAN-based. To the best of our knowledge, our work is the first that: (i) proposes a training and evaluation framework that does not assume that real data is available for testing the utility and fairness of machine learning models trained on synthetic data; (ii) presents the most extensive analysis of synthetic dataset generation algorithms in terms of utility and fairness when used for training machine learning models; and (iii) encompasses several different definitions of fairness. Our findings demonstrate that marginal-based synthetic data generators surpass GAN-based ones regarding model training utility for tabular data. 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</si>
  <si>
    <t>Differentially Private Copulas, DAG and Hybrid Methods: A Comprehensive Data Utility Study</t>
  </si>
  <si>
    <t>Galloni, A; Lendák, I</t>
  </si>
  <si>
    <t>Differentially Private (DP) synthetic data generation (SDG) algorithms take as input a dataset containing private, confidential information and produce synthetic data with comparable statistical characteristics. The significance of such techniques is rising due to the growing awareness of the extent of data collection and usage in organizational contexts, as well as the implementation of new stricter data privacy regulations. Given the growing academic interest in DP SDG techniques, our study intends to perform a comparative evaluation of the statistical similarities and utility (in terms of machine learning performances) of a specific set of related algorithms in the realistic context of credit-risk and banking. The study compares PrivBayes, Copula-Shirley, and DPCopula algorithms and their variants using a proposed evaluation framework across three different datasets. The purpose of this study is to perform a thorough assessment of the score and to investigate the impact of different values of the privacy budget (epsilon) on the quality and usability of synthetic data generated by each method. As a result, we highlight and examine the deficiencies and capabilities of each algorithm in relation to the features' properties of the original data.</t>
  </si>
  <si>
    <t>Fernández-Montes, A; Fernández-Cerero, D; Jakóbik, A; Bermejo, B; Juiz, C</t>
  </si>
  <si>
    <t>Several approaches exist to generate synthetic data centre traces for various purposes: from augmenting operational traces for data centre simulators and digital twins to forecasting incoming workload to improve data centre behaviour. The evaluation of the quality of synthetically generated multivariate time-series datasets, such as those related to data-centre traces, is not a trivial task, since complex patterns and correlation between variables may be present. This paper proposes a new multivariate time-series evaluation framework that computes a set of metrics and figures that can be used to measure the quality of synthetically generated data-centre traces. We then employ the proposed tool to compare two synthetic data centre traces with the original trace and assess their quality. These synthetic traces have been generated by means of Generative Adversarial Networks (GAN). In this work, we employ TimeGAN, a GAN model focused on the generation of multivariate time series traces. We finally show how the proposed framework provides us with a set of metrics consistent with the observable behaviour and numerical insights on the quality of the generated data centre traces, which are hard to acquire otherwise.</t>
  </si>
  <si>
    <t>Ntampakis, N; Argyriou, V; Diamantaras, K; Goulianas, K; Sarigiannidis, P; Siniosoglou, I</t>
  </si>
  <si>
    <t>In the evolving field of medical imaging and machine learning (ML), this paper introduces a novel framework for evaluating synthetic pulmonary imaging aiming to assess synthetic data quality and applicability. Our study concentrates on synthetic X-ray chest images, crucial for diagnosing respiratory diseases. We employ SPINE (Synthetic Pulmonary Imaging Evaluation) framework, a threefold synthetic images evaluation method including expert domain assessment, statistical data analysis and adversarial evaluation. In order to replicate and validate our methodology, we followed an End-to-End data and model management process which begins with a dataset of Normal and Pneumonia chest X-rays, generating synthetic images using Generative Adversarial Networks (GANs) and training a baseline classifier, essential in the adversarial evaluation axis, testing synthetic images against real data assessing their predictive value. The critical outcome of our approach is the post-market analysis of synthetic images. This innovative method evaluates synthetic images using clinical, statistical, and scientific criteria independently from traditional generation performance metrics. This independent evaluation provides deep insights into the clinical and research effectiveness of the synthetic data. By ensuring these images mirror real data's statistical properties and maintain clinical accuracy, our framework establishes a new standard for the ethical and reliable use of synthetic data in medical imaging and research.</t>
  </si>
  <si>
    <t>Generation of Synthetic Tabular Healthcare Data Using Generative Adversarial Networks</t>
  </si>
  <si>
    <t>Nik, AHZ; Riegler, MA; Halvorsen, P; Storås, AM</t>
  </si>
  <si>
    <t>High-quality tabular data is a crucial requirement for developing data-driven applications, especially healthcare-related ones, because most of the data nowadays collected in this context is in tabular form. However, strict data protection laws complicates the access to medical datasets. Thus, synthetic data has become an ideal alternative for data scientists and healthcare professionals to circumvent such hurdles. Although many healthcare institutions still use the classical de-identification and anonymization techniques for generating synthetic data, deep learning-based generative models such as generative adversarial networks (GANs) have shown a remarkable performance in generating tabular datasets with complex structures. This paper examines the GANs' potential and applicability within the healthcare industry, which often faces serious challenges with insufficient training data and patient records sensitivity. We investigate several state-of-the-art GAN-based models proposed for tabular synthetic data generation. Healthcare datasets with different sizes, numbers of variables, column data types, feature distributions, and inter-variable correlations are examined. Moreover, a comprehensive evaluation framework is defined to evaluate the quality of the synthetic records and the viability of each model in preserving the patients' privacy. The results indicate that the proposed models can generate synthetic datasets that maintain the statistical characteristics, model compatibility and privacy of the original data. Moreover, synthetic tabular healthcare datasets can be a viable option in many data-driven applications. However, there is still room for further improvements in designing a perfect architecture for generating synthetic tabular data.</t>
  </si>
  <si>
    <t>Park, K; An, S; Lee, YJ; Kim, D</t>
  </si>
  <si>
    <t>Language-based object detection aims to locate target objects from complex language queries. However, current vision-language detectors often struggle to understand complex representations of visual objects (e.g., attributes, shapes, and relationships), especially under complex queries. In this paper, we first conduct a thorough analysis of current language-based detectors to identify their specific weaknesses in compositional understanding. To this end, we propose a novel comprehensive evaluation framework that automatically categorizes test cases by the type and complexity of compositionality, leveraging large language models (LLMs). This reveals that detectors show significant performance drops with increased complexity and consistent failures in specific types, such as spatial and numerical reasoning. To effectively address this, we propose a multifaceted synthetic data consisting of (1) generative model-based synthetic triplets that inherited compositional knowledge from large generative models (e.g., LLMs, diffusion models) in the form of triplets (i.e., image-text-box data); and (2) weakness-targeted synthetic descriptions designed to enhance understanding in vulnerable types like spatial and numeracy concepts. We further introduce a compositional contrastive learning method to better leverage the proposed synthetic data while mitigating the common drawbacks of synthetic data. Consequently, our models trained on proposed multifaceted synthetic data exhibit a significant performance boost in the Omnilabel benchmark by up to +7.1AP and the D3\documentclass[12pt]{minimal} \usepackage{amsmath} \usepackage{wasysym} \usepackage{amsfonts} \usepackage{amssymb} \usepackage{amsbsy} \usepackage{mathrsfs} \usepackage{upgreek} \setlength{\oddsidemargin}{-69pt} \begin{document}$$\hbox {D}&lt;^&gt;{3}$$\end{document} benchmark by up to +8.4\documentclass[12pt]{minimal} \usepackage{amsmath} \usepackage{wasysym} \usepackage{amsfonts} \usepackage{amssymb} \usepackage{amsbsy} \usepackage{mathrsfs} \usepackage{upgreek} \setlength{\oddsidemargin}{-69pt} \begin{document}$$+8.4$$\end{document}AP upon existing baselines.</t>
  </si>
  <si>
    <t>Zamzmi, G; Subbaswamy, A; Sizikova, E; Margerrison, E; Delfino, JG; Badano, A</t>
  </si>
  <si>
    <t>Although the interest in synthetic medical data (SMD) for developing and testing artificial intelligence (AI) methods is growing, the absence of a comprehensive framework to evaluate the quality and applicability of SMD hinders its wider adoption. Here, we outline an evaluation framework designed to meet the unique requirements of medical applications. We also introduce SMD scorecard, a comprehensive report accompanying artificially generated datasets. This scorecard provides a quantitative assessment of SMD across seven criteria (7 Cs), complemented by a descriptive section that contains all relevant information about the dataset. The SMD scorecard provides a practical framework for evaluating and reporting the quality of synthetic data, which can benefit SMD developers and users.</t>
  </si>
  <si>
    <t>Tonati, S; Di Vece, M; Giannotti, F; Pellungrini, R</t>
  </si>
  <si>
    <t>Counterfactual explanations identify minimal input changes needed to alter a machine learning model's prediction, offering actionable insights in tasks like churn analysis. However, existing methods often produce counterfactuals that vary in quality, coherence, and plausibility, limiting their practical value. We propose an ensemble evaluation framework that integrates multiple generation techniques and ranks their outputs using a tunable scoring function balancing multiple relevant metrics. Our approach addresses two key deployment scenarios: (i) in-house churn analysis, where decision-makers can interactively adjust scoring weights for tailored, user-driven explanations; and (ii) outsourced churn prediction, where counterfactuals must be generated on synthetic data to preserve privacy while remaining representative of real cases. Experiments on benchmark churn datasets demonstrate that our ensemble approach improves the consistency, interpretability, and utility of counterfactuals across both real and synthetic settings, supporting more reliable and privacy-aware decision-making.</t>
  </si>
  <si>
    <t>Hernandez, M; Osorio-Marulanda, PA; Catalina, M; Loinaz, L; Epelde, G; Aginako, N</t>
  </si>
  <si>
    <t>The generation of synthetic tabular data has emerged as a key privacy-enhancing technology to address challenges in data sharing, particularly in healthcare, where sensitive attributes can compromise patient privacy. Despite significant progress, balancing fidelity, utility, and privacy in complex medical datasets remains a substantial challenge. This paper introduces a comprehensive and holistic evaluation framework for synthetic tabular data, consolidating metrics and privacy risk measures across three key categories (fidelity, utility and privacy) and incorporating a fidelity-utility tradeoff metric. The framework was applied to three open-source medical datasets to evaluate synthetic tabular data generated by five generative models, both with and without differential privacy. Results showed that simpler models generally achieved better fidelity and utility, while more complex models provided lower privacy risks. The addition of differential privacy enhanced privacy preservation but often reduced fidelity and utility, highlighting the complexity of balancing fidelity, utility and privacy in synthetic data generation for medical datasets. Despite its contributions, this study acknowledges limitations, such as the lack of evaluation metrics neither privacy risk measures for required model training time and resource usage, reliance on default model parameters, and the assessment of models that incorporates differential privacy with only a single privacy budget. Future work should explore parameter optimization, alternative privacy mechanisms, broader applications of the framework to diverse datasets and domains, and collaborations with clinicians for clinical utility evaluation. This study provides a foundation for improving synthetic tabular data evaluation and advancing privacy-preserving data sharing in healthcare.</t>
  </si>
  <si>
    <t>Fee, K; Jain, S; Murphy, RG; Jurek-Loughrey, A</t>
  </si>
  <si>
    <t>Machine learning (ML) techniques are progressively being used in biomedical research to improve diagnostic and prognostic accuracy when used in conjunction with a clinician as a decision support system. However, many datasets used in biomedical research often suffer from severe class imbalance due to small population sizes, which causes machine learning models to become biased to majority class samples. Current oversampling methods primarily focus on balancing datasets without adequately validating the biological relevance of synthetic data, risking the clinical applicability of downstream model predictions. To address these shortcomings, we propose the Biological Evaluation Framework for Oversampling (BEFO) designed to ensure that synthetic gene expression samples accurately reflect the biological patterns present in original datasets. This innovation not only mitigates bias but enhances the trustworthiness of predictive models in clinical scenarios. We have developed a ranking method for synthetic samples based on this and evaluated each sample's inclusion based on its rank. This ranking method calculates the WGCNA gene co-expression clusters on the original dataset. Several random forests are constructed to assess the alignment of each synthetic sample to each cluster. Only synthetic samples more important than real samples are included in a study. The experimental results demonstrate that our proposed ML oversampling framework can improve the biological feasibility of oversampled datasets by an average of 11%, leading to improved classification performance by an average of 9% when compared against five state-of-the-art (SOTA) oversampling methods and ten classification algorithms across six real world gene expressions datasets. Thereby establishing a new standard for synthetic data evaluation in biomedical ML applications.</t>
  </si>
  <si>
    <t>Evaluating Synthetic Data Generation from User Generated Text</t>
  </si>
  <si>
    <t>Chim, J; Ive, J; Liakata, M</t>
  </si>
  <si>
    <t>User-generated content provides a rich resource to study social and behavioral phenomena.Although its application potential is currently limited by the paucity of expert labels and theprivacy risks inherent in personal data, synthetic data can help mitigate this bottleneck. Inthis work, we introduce an evaluation framework to facilitate research on synthetic languagedata generation for user-generated text. We define a set of aspects for assessing data quality,namely, style preservation, meaning preservation, and divergence, as a proxy for privacy. Weintroduce metrics corresponding to each aspect. Moreover, through a set of generation strategiesand representative tasks and baselines across domains, we demonstrate the relation betweenthe quality aspects of synthetic user generated content, generation strategies, metrics, anddownstream performance. To our knowledge, our work is the first unified evaluation frameworkfor user-generated text in relation to the specified aspects, offering both intrinsic and extrinsicevaluation. We envisage it will facilitate developments towards shareable, high-quality syntheticlanguage data</t>
  </si>
  <si>
    <t>Sariyanidi, E; Ferrari, C; Berretti, S; Schultz, RT; Tunc, B</t>
  </si>
  <si>
    <t>The standard benchmark metric for 3D face reconstruction is the geometric error between reconstructed meshes and the ground truth. Nearly all recent reconstruction methods are validated on real ground truth scans, in which case one needs to establish point correspondence prior to error computation, which is typically done with the Chamfer (i.e., nearest neighbor) criterion. However, a simple yet fundamental question have not been asked: Is the Chamfer error an appropriate and fair benchmark metric for 3D face reconstruction? More generally, how can we determine which error estimator is a better benchmark metric? We present a meta-evaluation framework that uses synthetic data to evaluate the quality of a geometric error estimator as a benchmark metric for face reconstruction. Further, we use this framework to experimentally compare four geometric error estimators. Results show that the standard approach not only severely underestimates the error, but also does so inconsistently across reconstruction methods, to the point of even altering the ranking of the compared methods. Moreover, although non-rigid ICP leads to a metric with smaller estimation bias, it could still not correctly rank all compared reconstruction methods, and is significantly more time consuming than Chamfer. In sum, we show several issues present in the current benchmarking and propose a procedure using synthetic data to address these issues.</t>
  </si>
  <si>
    <t>Zhang, M; Li, JX; Zhang, C; Wang, B; Tang, X</t>
  </si>
  <si>
    <t>The rarity and randomness of serious traffic accidents result in highly imbalanced datasets, posing challenges for prediction and interpretation. Although emerging deep learning methods effectively address class imbalance, they are often unstable and may generate unrealistic data. To address this issue, this study proposes using the K-Prototype (KP) clustering algorithm to refine synthetic data, with Gini impurity employed to filter high-quality data by Wasserstein Generative Adversarial Network with Gradient Penalty (WGAN-GP). Subsequently, we develop an evaluation framework to assess the effectiveness of the proposed method, including a systematic comparison of the similarity between synthetic data generated by different resampling techniques and real data, as well as their impact on improving accident severity classification performance. The results show that the proposed method not only maintains data diversity but also enhances feature distribution, with the synthesized data from WGAN-GP-KP outperforming all other methods in accident severity prediction models. Furthermore, the SHapley Additive exPlanations (SHAP) technique is employed to analyze the factors influencing the severity of traffic accidents. This study offers valuable insights for traffic researchers in addressing imbalanced datasets related to accident severity.</t>
  </si>
  <si>
    <t>Jaiswal, C; Challa, K; Gokaraju, B</t>
  </si>
  <si>
    <t>Traditional object detection evaluation metrics often fail to account for the hierarchical nature of object classifications, leading to rigid assessments where semantically similar misclassifications are treated as entirely incorrect. This limitation can be particularly problematic in autonomous vehicle applications, where understanding subclass-superclass relationships is crucial for safe decision-making. This study introduces a hierarchical evaluation framework that assigns partial credit to predictions based on class relationships, offering a more flexible and informative assessment of object detection models. Our framework uses the YOLOv5 object detection model trained on a synthetic dataset generated with CARLA, an autonomous driving simulator. By leveraging synthetic data with hierarchical labels, we examine how integrating semantic relationships into evaluation metrics impacts model performance. Experimental results highlight the potential benefits of hierarchical evaluation, demonstrating improved interpretability of detection performance and better alignment with real-world decision-making processes in autonomous driving. This work underscores the importance of incorporating semantic awareness into object detection assessments and the role of synthetic datasets in advancing hierarchical classification models.</t>
  </si>
  <si>
    <t>Narteni, S; Orani, V; Ferrari, E; Verda, D; Cambiaso, E; Mongelli, M</t>
  </si>
  <si>
    <t>Data augmentation represents an opportunity for Artificial Intelligence (AI) applications, as it aims at creating new synthetic data based on an existing baseline. In this paper, we present anew evaluation framework for Generative Adversarial Networks (GANs), a data augmentation technique, in multivariate data classification contexts. The goal is not limited to assessing the performance variations obtained through GANs, but also to inspect results with explainable AI (XAI) tools, understanding how GANs work and, finally, exploiting them to discover new knowledge. To this aim, we adopt the Logic Learning Machine (LLM) for performance assessment and rule extraction, and introduce anew measure of rule similarity to compare different artificial datasets. We apply the methodology on two case studies, activity recognition and physical fatigue detection, confirming that GANs can help in overcoming limitations of original datasets and lead to new discoveries.</t>
  </si>
  <si>
    <t>UNIT-HYDROGRAPH AND EFFECTIVE PRECIPITATION IDENTIFICATION</t>
  </si>
  <si>
    <t>NALBANTIS, I; OBLED, C; RODRIGUEZ, JY</t>
  </si>
  <si>
    <t>A recently proposed method for calibrating lumped rainfall-runoff models, called FDTF-ERUHDIT, is analysed and evaluated on synthetic data. Based on the Unit Hydrograph concept this method performs a simultaneous identification of the excess rainfall se;ies and the transfer function or unit hydrograph through an alternating iterative procedure without presuming any runoff production model or applying any arbitrary baseflow removal. A general evaluation framework was built to allow for generation of realistic data both error-free and contaminated with controlled errors. The problems of the method's convergence and sensitivity to errors in the data and the model structure assumed are tackled. A rather exhaustive series of tests involve also evaluations of the effects of a priori choices of optimisation algorithms and their parameters, as well as assessments of sampling effects. Combinations of these factors are also tested. Finally, useful guidelines for practical use of the new identification approach are derived.</t>
  </si>
  <si>
    <t>Navidan, H; Moshiri, PF; Nabati, M; Shahbazian, R; Ghorashi, SA; Shah-Mansouri, V; Windridge, D</t>
  </si>
  <si>
    <t>Despite the recency of their conception, Generative Adversarial Networks (GANs) constitute an extensively researched machine learning sub-field for the creation of synthetic data through deep generative modeling. GANs have consequently been applied in a number of domains, most notably computer vision, in which they are typically used to generate or transform synthetic images. Given their relative ease of use, it is therefore natural that researchers in the field of networking (which has seen extensive application of deep learning methods) should take an interest in GAN-based approaches. The need for a comprehensive survey of such activity is therefore urgent. In this paper, we demonstrate how this branch of machine learning can benefit multiple aspects of computer and communication networks, including mobile networks, network analysis, internet of things, physical layer, and cybersecurity. In doing so, we shall provide a novel evaluation framework for comparing the performance of different models in non-image applications, applying this to a number of reference network datasets.</t>
  </si>
  <si>
    <t>Xu, XZ; Liu, YM; Ou, GL</t>
  </si>
  <si>
    <t>Intelligent construction has emerged as a critical pathway to enhance the quality and transformation of highspeed railway projects. However, existing evaluation approaches often focus on isolated technical aspects or static indicators, lacking a multidimensional, predictive, and interpretable model capable of comprehensively and objectively assessing intelligent construction business level. This study proposes a novel evaluation framework based on a SeqGAN-SSA-BP neural network to achieve continuous and objective assessment of intelligent construction business levels. A hierarchical indicator system is constructed across three dimensions: intelligent, construction, and other dimension. The Sparrow Search Algorithm (SSA) optimizes the weights and biases of the BP neural network, while an Extreme Random Tree (ERT)-weighted TOPSIS method is introduced to determine objective indicator weights. To mitigate data scarcity, 90 synthetic samples are generated from 10 expert evaluations using a Sequence Generative Adversarial Network (SeqGAN). The synthetic data's distributional consistency with real data is validated via t-SNE visualization and Maximum Mean Discrepancy (MMD) tests. SHapley Additive exPlanations (SHAP) analysis is employed to interpret feature importance and underlying mechanisms. The model is rigorously evaluated using a Training on Synthetic Data, Testing on Real Data (TSTR) approach with a hold-out real dataset. The results demonstrate that the proposed model significantly outperforms BP neural network, Random Forest, SVM, and XGBoost models, with MSE reduced by 2.346 x 10-3, 0.565 x 10-3, 1.535 x 10-3, and 2.671 x 10-3; RMSE reduced by 4.436 x 10-2, 1.988 x 10-2, 3.515 x 10-2, and 4.759 x 10-2; MAE reduced by 3.788 x 10-2, 1.734 x 10-2, 2.962 x 10-2, and 0.016 x 10-2; and R2 increased by 0.312, 0.075, 0.204, and 0.356, respectively.</t>
  </si>
  <si>
    <t>Li, M; Wang, ZG; Zeng, A; Di, ZR</t>
  </si>
  <si>
    <t>Evaluating the significance of objects with possible relevant information is a crucial topic in information science. Due to the fact that objects related to each other can often be described using complex networks, this topic also forms a fundamental theme in network science. Most traditional methods for characterizing the importance of nodes in complex networks only utilize the binary relationships between node pairs, neglecting the influence brought by higher-order structures. Considering the specific interaction modes between local nodes in the network, this paper associates the higher-order structural characteristics of the network with the importance of the nodes. It constructs an evaluation framework for the importance of nodes in directed networks based on higher-order structures. Experimental analysis on both artificial data and scientific citation data from the APS dataset has validated the effectiveness of the proposed algorithms. Compared with PageRank and eigenvector centrality, the proposed algorithms demonstrated higher accuracy, revealing the role of higher-order structures in node importance evaluation. Finally, a robustness analysis of several algorithms indicated that the proposed algorithms exhibited good robustness.</t>
  </si>
  <si>
    <t>Zhang, HW; Guo, HZ; Shang, J; Peng, KX</t>
  </si>
  <si>
    <t>High-quality data is crucial for fault diagnosis, yet industrial settings often face challenges such as data imbalance and a scarcity of labeled instances, which hinder diagnostic accuracy. Generative models have emerged as a key solution to these issues. To maximize the utility of generated data in model training, it needs to align with the original data in terms of distribution, temporal dynamics, and spatial relationships. To generate industrial time-series data, we develop a spatiotemporal generative adversarial network (GAN) that integrates three key innovations: a variational autoencoder long short-term memory generator to capture temporal dependencies, a mode-seeking regularization (MSR) technique to mitigate mode collapse, and a dual-adversarial mechanism that enhances data quality by incorporating a Siamese convolutional neural network alongside the discriminator. Recognizing that existing similarity metrics primarily focus on data distribution, often leading to a narrow evaluation scope, we propose a comprehensive similarity evaluation framework that assesses generated data across distribution, temporal, and spatial dimensions. Our method surpasses the second-best approach in all three aspects, achieving superior F1 score and G-means, thereby ensuring high-quality synthetic data for industrial fault diagnosis.</t>
  </si>
  <si>
    <t>Jia, M; Cheng, QX; Tao, CK; Hu, YT; Hong, Q; Cheng, WZ; Liu, ZY</t>
  </si>
  <si>
    <t>Corner cases, which are rare and high-risk scenarios such as safety-critical behaviors in autonomous vehicle operations, present significant modeling challenges due to their low occurrence probability and limited data availability. Large language models (LLMs) offer new potential for synthesizing such scenarios, but existing evaluation metrics are inadequate because corner case data typically lack one-to-one mapping to real samples and have extremely limited instances. To address this, we propose a two-stage evaluation framework, that is, a physics-informed train on synthetic and test on real (PI-TSTR) framework. Using safety-critical car-following (CF) scenarios as an example, we design a prompting and interpolation strategy to guide LLMs in generating physically feasible synthetic follower trajectories from real leading vehicle inputs. We then evaluate the generated data by training several CF models, that is, extended S-shaped three-parameter (ES3) model, Gipps model, optimal velocity model (OVM), improved full velocity difference model (IFVDM), intelligent driver model (IDM), and testing their performances on real-world data. The CF models trained on LLM-generated trajectories show strong generalization to real scenarios, validating the quality of the synthetic data. This framework provides a physics-grounded approach for evaluating LLM-generated data in safety-critical, data-scarce domains.</t>
  </si>
  <si>
    <t>Quantifying Changes in Predictions of Classification Models for Data Streams</t>
  </si>
  <si>
    <t>Grzenda, M</t>
  </si>
  <si>
    <t>Evaluation methods for data stream classification have frequently been focused on how available data are used for learning a model and for its performance assessment, with major emphasis on the difference between predicted and true labels. More recently, growing interest in delayed labelling evaluation has resulted in the evaluation of multiple predictions made by an evolving model for an instance before its true label arrival. Still, under this setting predictions are also compared with true labels rather than changes in predictions focused on. In this study, we aim to provide an intuitive evaluation framework to quantify changes in predictions made over time for the same input instances by evolving classification models. The primary motivation is to gain insight into the impact of the evolution of a classification model on the changes in decision boundaries, which may effectively re-assign the instances to other classes. The prediction change measures proposed in this study make it possible to reveal the scale of such changes. Furthermore, the notions of volatility of predictions and productive volatility are proposed and quantified. Results for a number of real and synthetic data streams show that similar accuracy of the models can be accompanied by significantly different volatility of predictions made by these models.</t>
  </si>
  <si>
    <t>Urkullu, A; Pérez, A; Calvo, B</t>
  </si>
  <si>
    <t>Statistical tests are a powerful set of tools when applied correctly, but unfortunately the extended misuse of them has caused great concern. Among many other applications, they are used in the detection of biomarkers so as to use the resulting p-values as a reference with which the candidate biomarkers are ranked. Although statistical tests can be used to rank, they have not been designed for that use. Moreover, there is no need to compute any p-value to build a ranking of candidate biomarkers. Those two facts raise the question of whether or not alternative methods which are not based on the computation of statistical tests that match or improve their performances can be proposed. In this paper, we propose two alternative methods to statistical tests. In addition, we propose an evaluation framework to assess both statistical tests and alternative methods in terms of both the performance and the reproducibility. The results indicate that there are alternative methods that can match or surpass methods based on statistical tests in terms of the reproducibility when processing real data, while maintaining a similar performance when dealing with synthetic data. The main conclusion is that there is room for the proposal of such alternative methods.</t>
  </si>
  <si>
    <t>Boundary overlap for medical image segmentation evaluation</t>
  </si>
  <si>
    <t>Yeghiazaryan, V; Voiculescu, I</t>
  </si>
  <si>
    <t>All medical image segmentation algorithms need to be validated and compared, and yet no evaluation framework is widely accepted within the imaging community. Collections of segmentation results often need to be compared and ranked by their effectiveness. Evaluation measures which are popular in the literature are based on region overlap or boundary distance. None of these are consistent in the way they rank segmentation results: they tend to be sensitive to one or another type of segmentation error (size, location, shape) but no single measure covers all error types. We introduce a new family of measures, with hybrid characteristics. These measures quantify similarity/difference of segmented regions by considering their overlap around the region boundaries. This family is more sensitive than other measures in the literature to combinations of segmentation error types. We compare measure performance on collections of segmentation results sourced from carefully compiled 2D synthetic data, and also on 3D medical image volumes. We show that our new measure: (1) penalises errors successfully, especially those around region boundaries; (2) gives a low similarity score when existing measures disagree, thus avoiding overly inflated scores; and (3) scores segmentation results over a wider range of values. We consider a representative measure from this family and the effect of its only free parameter on error sensitivity, typical value range, and running time.</t>
  </si>
  <si>
    <t>Nadeem, Z; Aslam, Z; Jaber, M; Qayyum, A; Qadir, J</t>
  </si>
  <si>
    <t>With the advent of modern smart grid networks, advanced metering infrastructure provides real-time information from smart meters (SM) and sensors to energy companies and consumers. The smart grid is indeed a paradigm that is enabled by the Internet of Things (IoT) and in which the SM acts as an IoT device that collects and transmits data over the Internet to enable intelligent applications. However, IoT data communicated over the smart grid could however be maliciously altered, resulting in energy theft due to unbilled energy consumption. Machine learning (ML) techniques for energy theft detection (ETD) based on IoT data are promising but are nonetheless constrained by the poor quality of data and particularly its imbalanced nature (which emerges from the dominant representation of honest users and poor representation of the rare theft cases). Leading ML-based ETD methods employ synthetic data generation to balance the training the dataset. However, these are trained to maximise average correct detection instead of ETD. In this work, we formulate an energy-aware evaluation framework that guides the model training to maximise ETD and minimise the revenue loss due to mis-classification. We propose a convolution neural network with positive bias (CNN-B) and another with focal loss CNN (CNN-FL) to mitigate the data imbalance impact. These outperform the state of the art and the CNN-B achieves the highest ETD and the minimum revenue loss with a loss reduction of 30.4% compared to the highest loss incurred by these methods.</t>
  </si>
  <si>
    <t>Quantifying the Effect of Data Quality on the Validity of an eMeasure</t>
  </si>
  <si>
    <t>Johnson, SG; Speedie, S; Simon, G; Kumar, V; Westra, BL</t>
  </si>
  <si>
    <t>Objective The objective of this study was to demonstrate the utility of a healthcare data quality framework by using it to measure the impact of synthetic data quality issues on the validity of an eMeasure (CMS178-urinary catheter removal after surgery). Methods Data quality issues were artificially created by systematically degrading the underlying quality of EHR data using two methods: independent and correlated degradation. A linear model that describes the change in the events included in the eMeasure quantifies the impact of each data quality issue. Results Catheter duration had the most impact on the CMS178 eMeasure with every 1% reduction in data quality causing a 1.21% increase in the number of missing events. For birth date and admission type, every 1% reduction in data quality resulted in a 1% increase in missing events. Conclusion This research demonstrated that the impact of data quality issues can be quantified using a generalized process and that the CMS178 eMeasure, as currently defined, may not measure how well an organization is meeting the intended best practice goal. Secondary use of EHR data is warranted only if the data are of sufficient quality. The assessment approach described in this study demonstrates how the impact of data quality issues on an eMeasure can be quantified and the approach can be generalized for other data analysis tasks. Healthcare organizations can prioritize data quality improvement efforts to focus on the areas that will have the most impact on validity and assess whether the values that are reported should be trusted.</t>
  </si>
  <si>
    <t>Mahboubi, A; Luong, K; Aboutorab, H; Bui, HT; Camtepe, S; Ansari, K; Barry, B; Luong, K</t>
  </si>
  <si>
    <t>Botnets represent a significant and evolving cybersecurity threat, leveraging networks of compromised devices for various malicious activities, including data exfiltration (e.g., Truebot malware), credential theft, and distributed denial-of-service (DDoS) attacks. heir increasing sophistication includes advanced evasion techniques such as domain generation algorithms (DGAs), encrypted command-and-control (C&amp;C) channels, and peer-to-peer (P2P) architectures. These innovations pose substantial challenges to conventional detection systems. Existing surveys typically examine isolated detection methodologies or specific datasets, failing to address comprehensively the broader landscape, especially regarding adversarial manipulation of machine learning (ML) and artificial intelligence (AI) feature sets. To address this critical gap, this survey introduces the first systematic adversarial-aware analysis of botnet detection strategies. It specifically evaluates how adversaries exploit ML/AI feature manipulation, such as through noise injection and feature perturbation, to evade detection, a perspective that has not been quantitatively addressed in prior literature. A core contribution is our explicit benchmarking of detection model robustness across four quantitative metrics, faithfulness, monotonicity, sensitivity, and complexity, providing novel insights into the resilience of state-of-the-art models under adversarial conditions. Additionally, we highlight persistent practical challenges including limited dataset diversity and dependence on high-quality labeled data, and propose potential mitigation approaches such as synthetic data generation, federated and semi-supervised learning, and lightweight detection architectures tailored for resource-constrained IoT deployments. Finally, we outline key future research directions emphasizing standardized robustness evaluation frameworks, explainable AI to enhance interpretability and trust, and privacy-preserving collaborative data-sharing mechanisms. By integrating this adversarial-aware perspective with a comprehensive and practical evaluation framework, this work contributes to the field's understanding of botnet detection and supports the design of more robust and resilient cybersecurity solutions through insights relevant to both researchers and practitioners.</t>
  </si>
  <si>
    <t>Can I trust my fake data - A comprehensive quality assessment framework for synthetic tabular data in healthcare</t>
  </si>
  <si>
    <t>Vallevik, VB; Babic, A; Marshall, SE; Elvatun, S; Brogger, HMB; Alagaratnam, S; Edwin, B; Veeraragavan, NR; Befring, AK; Nygard, JF</t>
  </si>
  <si>
    <t>Background: Ensuring safe adoption of AI tools in healthcare hinges on access to sufficient data for training, testing and validation. Synthetic data has been suggested in response to privacy concerns and regulatory requirements and can be created by training a generator on real data to produce a dataset with similar statistical properties. Competing metrics with differing taxonomies for quality evaluation have been proposed, resulting in a complex landscape. Optimising quality entails balancing considerations that make the data fit for use, yet relevant dimensions are left out of existing frameworks. Method: We performed a comprehensive literature review on the use of quality evaluation metrics on synthetic data within the scope of synthetic tabular healthcare data using deep generative methods. Based on this and the collective team experiences, we developed a conceptual framework for quality assurance. The applicability was benchmarked against a practical case from the Dutch National Cancer Registry. Conclusion: We present a conceptual framework for quality assurance of synthetic data for AI applications in healthcare that aligns diverging taxonomies, expands on common quality dimensions to include the dimensions of Fairness and Carbon footprint, and proposes stages necessary to support real -life applications. Building trust in synthetic data by increasing transparency and reducing the safety risk will accelerate the development and uptake of trustworthy AI tools for the benefit of patients. Discussion: Despite the growing emphasis on algorithmic fairness and carbon footprint, these metrics were scarce in the literature review. The overwhelming focus was on statistical similarity using distance metrics while sequential logic detection was scarce. A consensus -backed framework that includes all relevant quality dimensions can provide assurance for safe and responsible real -life applications of synthetic data. As the choice of appropriate metrics are highly context dependent, further research is needed on validation studies to guide metric choices and support the development of technical standards.</t>
  </si>
  <si>
    <t>Hurl, B; Cohen, R; Czarnecki, K; Waslander, S</t>
  </si>
  <si>
    <t>Inter-vehicle communication for autonomous vehicles (AVs) stands to provide significant benefits in terms of perception robustness. We propose a novel approach for AVs to communicate perceptual observations, tempered by trust modelling of peers providing reports. Based on the accuracy of reported object detections as verified locally, communicated messages can be fused to augment perception performance beyond line of sight and at great distance from the ego vehicle. Also presented is a new synthetic dataset which can be used to test cooperative perception. The TruPercept dataset includes unreliable and malicious behaviour scenarios to experiment with some challenges cooperative perception introduces. The TruPercept runtime and evaluation framework allows modular component replacement to facilitate ablation studies as well as the creation of new trust scenarios we are able to show.</t>
  </si>
  <si>
    <t>On LLM Wizards: Identifying Large Language Models' Behaviors for Wizard of Oz Experiments</t>
  </si>
  <si>
    <t>Fang, JC; Arechiga, N; Namikoshi, K; Bravo, N; Hogan, C; Shamma, DA</t>
  </si>
  <si>
    <t>The Wizard of Oz (WoZ) method is a widely adopted research approach where a human Wizard role-plays a not readily available technology and interacts with participants to elicit user behaviors and probe the design space. With the growing ability for modern large language models (LLMs) to role-play, one can apply LLMs as Wizards in WoZ experiments with better scalability and lower cost than the traditional approach. However, methodological guidance on responsibly applying LLMs in WoZ experiments and a systematic evaluation of LLMs' role-playing ability are lacking. Through two LLM-powered WoZ studies, we take the first step towards identifying an experiment lifecycle for researchers to safely integrate LLMs into WoZ experiments and interpret data generated from settings that involve Wizards role-played by LLMs. We also contribute a heuristic-based evaluation framework that allows the estimation of LLMs' role-playing ability in WoZ experiments and reveals LLMs' behavior patterns at scale.</t>
  </si>
  <si>
    <t>A Dataset Generation Framework for Evaluating Megapixel Image Classifiers and Their Explanations</t>
  </si>
  <si>
    <t>Machiraju, G; Plevritis, S; Mallick, P</t>
  </si>
  <si>
    <t>Deep learning-based megapixel image classifiers have exceptional prediction performance in a number of domains, including clinical pathology. However, extracting reliable, human-interpretable model explanations has remained challenging. Because real-world megapixel images often contain latent image features highly correlated with image labels, it is difficult to distinguish correct explanations from incorrect ones. Furthering this issue are the flawed assumptions and designs of today's classifiers. To investigate classification and explanation performance, we introduce a framework to (a) generate synthetic control images that reflect common properties of megapixel images and (b) evaluate average test-set correctness. By benchmarking two commonplace Convolutional Neural Networks (CNNs), we demonstrate how this interpretability evaluation framework can inform architecture selection beyond classification performance-in particular, we show that a simple Attention-based architecture identifies salient objects in all seven scenarios, while a standard CNN fails to do so in six scenarios. This work carries widespread applicability to any megapixel imaging domain.</t>
  </si>
  <si>
    <t>Privacy protection in RAG: A novel method and evaluation framework</t>
  </si>
  <si>
    <t>Zhang, Y; Wu, JH; Li, R; Zhang, T; Song, YJ; Li, CY; Wang, SQ; Shen, H; Yin, J; Ge, JD; Luo, B</t>
  </si>
  <si>
    <t>Retrieval-augmented generation (RAG) systems, which enhance large language models with domain-specific data, are increasingly deployed in sensitive domains but remain vulnerable to privacy leakage. Existing privacy safeguards often operate at the document or paragraph level, resulting in a coarse-grained trade-off between privacy and utility that may remove essential context or inadequately protect sensitive information. In this work, we propose a novel privacy-preserving RAG method grounded in knowledge graph representations. Our method introduces a privacy-aware processor that operates at the entity and relation granularity, incorporating coordinated modules for re-ranking, filtering, fine-grained synthetic data generation, and content compression. To address computational challenges, we design an efficient two-stage retrieval scheme that combines document-level filtering with graph-level refinement. We further propose two context-aware privacy evaluation metrics, i.e., Attack Extraction and Personal Identification, for measuring inferential privacy risks beyond traditional lexical overlap. Extensive empirical evaluation on medical and legal benchmark datasets demonstrates that our method achieves significant improvements in privacy protection while preserving response utility comparable to non-privacy-preserving RAG baselines. These results highlight the promise of knowledge graph-based, fine-grained privacy interventions for secure deployment of RAG systems in high-stakes applications.</t>
  </si>
  <si>
    <t>Wiedemann, N; Uscidda, T; Raubal, M</t>
  </si>
  <si>
    <t>When predicting observations across space and time, the spatial layout of errors impacts a model's real-world utility. For instance, in bike sharing demand prediction, error patterns translate to relocation costs. However, commonly used error metrics in GeoAI evaluate predictions point-wise, neglecting effects such as spatial heterogeneity, autocorrelation, and the Modifiable Areal Unit Problem. We put forward Optimal Transport (OT) as a spatial evaluation metric and loss function. The proposed framework, called GeOT, assesses the performance of prediction models by quantifying the transport costs associated with their prediction errors. Through experiments on real and synthetic data, we demonstrate that (1) the spatial distribution of prediction errors relates to real-world costs in many applications, (2) OT captures these spatial costs more accurately than existing metrics, and (3) OT enhances comparability across spatial and temporal scales. Finally, we advocate for leveraging OT as a loss function in neural networks to improve the spatial accuracy of predictions. Experiments with bike sharing, charging station, and traffic datasets show that spatial costs are significantly reduced with only marginal changes to non-spatial error metrics. Thus, this approach not only offers a spatially explicit tool for model evaluation and selection but also integrates spatial considerations into model training.</t>
  </si>
  <si>
    <t>Evaluating large-scale propensity score performance through real-world and synthetic data experiments</t>
  </si>
  <si>
    <t>Tian, YX; Schuemie, MJ; Suchard, MA</t>
  </si>
  <si>
    <t>Background: Propensity score adjustment is a popular approach for confounding control in observational studies. Reliable frameworks are needed to determine relative propensity score performance in large-scale studies, and to establish optimal propensity score model selection methods. Methods: We detail a propensity score evaluation framework that includes synthetic and real-world data experiments. Our synthetic experimental design extends the 'plasmode' framework and simulates survival data under known effect sizes, and our real-world experiments use a set of negative control outcomes with presumed null effect sizes. In reproductions of two published cohort studies, we compare two propensity score estimation methods that contrast in their model selection approach: L-1-regularized regression that conducts a penalized likelihood regression, and the 'high-dimensional propensity score' (hdPS) that employs a univariate covariate screen. We evaluate methods on a range of outcome-dependent and outcome-independent metrics. Results: L-1-regularization propensity score methods achieve superior model fit, covariate balance and negative control bias reduction compared with the hdPS. Simulation results are mixed and fluctuate with simulation parameters, revealing a limitation of simulation under the proportional hazards framework. Including regularization with the hdPS reduces commonly reported non-convergence issues but has little effect on propensity score performance. Conclusions: L-1-regularization incorporates all covariates simultaneously into the propensity score model and offers propensity score performance superior to the hdPS marginal screen.</t>
  </si>
  <si>
    <t>Banday, BH; Islam, TZ; Marathe, A</t>
  </si>
  <si>
    <t>Collecting data in High-Performance Computing (HPC) is a laborious task, demanding that application scientists execute the application multiple times with different configurations. Due to the essential nature of performance modeling and root cause analysis as initial phases of performance enhancement, the data collection phase prolongs the optimization process. Motivated by this observation, we investigate the feasibility of leveraging the recent advancement in the field of generative Artificial Intelligence (AI) to synthesize performance samples. However, generating synthetic performance data introduces an additional hurdle: the absence of ground truths to assess the quality of the synthetic data. This work takes a step toward bridging this gap where we propose a framework-PERFGEN-for generating performance data and evaluating its quality using a novel metric called Dissimilarity. Our experiments with three performance and five machine learning datasets (including three classification and two regression datasets), confirm that our proposed Dissimilarity correlates with model accuracy better than three of the state-of-the-art metrics-SD quality, Kullback-Leibler Divergence (KL), and TabSyndex, demonstrating that the Dissimilarity metric strongly correlates with the quality of generated scientific data. We evaluate the quality by measuring how well the generated data enables a downstream Machine Learning (ML) task to generalize. Since performance data is a special case of scientific data-typically stored in tabular format and consisting of numerical, categorical, and ordinal features-our methodologies and metrics apply to scientific data from other domains as well.</t>
  </si>
  <si>
    <t>Long, YB; Xu, LM; Brintrup, A</t>
  </si>
  <si>
    <t>Link prediction plays a vital role in uncovering hidden relationships within complex networks, enabling applications such as identifying potential customers and products. However, this task faces critical challenges, including growing concerns over data privacy and the substantial computational and storage costs associated with largescale networks. Condensed graphs, which are significantly smaller yet retain essential structural information, have emerged as a promising solution for preserving data utility while enhancing privacy. Despite this potential, existing methods like HyDRO rely on random node selection strategies designed primarily for node classification, overlooking connectivity patterns crucial for effective link prediction. Moreover, these methods lack rigorous evaluations of privacy risks associated with nodes and links in the condensed graphs-an essential consideration for sensitive real-world networks, where privacy concerns far exceed those of public datasets such as citation graphs. To address these limitations, we introduce HyDRO+, a novel graph condensation method guided by algebraic Jaccard similarity. By leveraging local connectivity patterns, HyDRO+ generates structurally-aware condensed graphs that preserve link information more effectively. We further introduce a comprehensive evaluation framework that rigorously assesses both node-and link-level privacy leakage. Extensive experiments on four real-world networks demonstrate that HyDRO+ consistently outperforms state-of-the-art methods-and even the original networks-in balancing link prediction accuracy and privacy preservation. Notably, it achieves nearly 20x faster training and reduces storage requirements by a factor of 452 on the Computers dataset. This work represents the first attempt to use condensed graphs for privacy-preserving link prediction in real-world complex networks, offering a practical and scalable solution for secure information sharing in large-scale networks. The code is available at https://github.com/ifm-mag/HyDRO_PLUS.</t>
  </si>
  <si>
    <t>LEFMIS: locally-oriented evaluation framework for medical image segmentation algorithms</t>
  </si>
  <si>
    <t>Skalski, A; Jakubowski, J; Drewniak, T</t>
  </si>
  <si>
    <t>This article proposes a novel framework for the locally-oriented evaluation of segmentation algorithms (LEFMIS). The presented approach is robust and takes into account local inter/intraobserver variability and the anisotropy of medical images. What is more, the framework makes it possible to distinguish types of error locally. These features are crucial in the context of cancer image data. The proposed framework is based on use of the signed anisotropic Euclidean distance transform and the distance projection. It can be used easily in many different applications with or without additional expert outlines (both inter- and intra-observer variability). The performance of the proposed framework is depicted using both artificial and kidney cancer CT data with experts' manual outlines. In the article, in the case of artificial data, it is presented that the manual outlines dispersion is symmetric in relation to the truth border. The effectiveness of the selected segmentation algorithm was analysed in the context of kidney cancer using computed tomography data. For the calculated local inter-observer variability, 80.11% of the surface points generated by the kidney segmentation algorithm are within one expert outline standard deviation and 97.96% are within five. An error distribution shift in the direction of type I error equivalent was also observed. Finally, the significance of the local estimation of error type differences is presented. The article shows the greater usefulness and flexibility of the proposed framework in comparison to the state-of-the-art methods. The exemplary usage of the LEFMIS with or without inter-/intra-observer variability is also presented.</t>
  </si>
  <si>
    <t>WoS-1</t>
  </si>
  <si>
    <t>WoS-2</t>
  </si>
  <si>
    <t>WoS-3</t>
  </si>
  <si>
    <t>WoS-4</t>
  </si>
  <si>
    <t>WoS-5</t>
  </si>
  <si>
    <t>WoS-6</t>
  </si>
  <si>
    <t>WoS-7</t>
  </si>
  <si>
    <t>WoS-8</t>
  </si>
  <si>
    <t>WoS-9</t>
  </si>
  <si>
    <t>WoS-10</t>
  </si>
  <si>
    <t>WoS-11</t>
  </si>
  <si>
    <t>WoS-12</t>
  </si>
  <si>
    <t>WoS-13</t>
  </si>
  <si>
    <t>WoS-14</t>
  </si>
  <si>
    <t>WoS-15</t>
  </si>
  <si>
    <t>WoS-16</t>
  </si>
  <si>
    <t>WoS-17</t>
  </si>
  <si>
    <t>WoS-18</t>
  </si>
  <si>
    <t>WoS-19</t>
  </si>
  <si>
    <t>WoS-20</t>
  </si>
  <si>
    <t>WoS-21</t>
  </si>
  <si>
    <t>WoS-22</t>
  </si>
  <si>
    <t>WoS-23</t>
  </si>
  <si>
    <t>WoS-24</t>
  </si>
  <si>
    <t>WoS-25</t>
  </si>
  <si>
    <t>WoS-26</t>
  </si>
  <si>
    <t>WoS-27</t>
  </si>
  <si>
    <t>WoS-28</t>
  </si>
  <si>
    <t>WoS-29</t>
  </si>
  <si>
    <t>WoS-30</t>
  </si>
  <si>
    <t>WoS-31</t>
  </si>
  <si>
    <t>WoS-32</t>
  </si>
  <si>
    <t>WoS-33</t>
  </si>
  <si>
    <t>WoS-34</t>
  </si>
  <si>
    <t>WoS-35</t>
  </si>
  <si>
    <t>WoS-36</t>
  </si>
  <si>
    <t>WoS-37</t>
  </si>
  <si>
    <t>WoS-38</t>
  </si>
  <si>
    <t>WoS-39</t>
  </si>
  <si>
    <t>WoS-40</t>
  </si>
  <si>
    <t>WoS-41</t>
  </si>
  <si>
    <t>WoS-42</t>
  </si>
  <si>
    <t>WoS-43</t>
  </si>
  <si>
    <t>WoS-44</t>
  </si>
  <si>
    <t>WoS-45</t>
  </si>
  <si>
    <t>WoS-46</t>
  </si>
  <si>
    <t>WoS-47</t>
  </si>
  <si>
    <t>WoS-48</t>
  </si>
  <si>
    <t>WoS-49</t>
  </si>
  <si>
    <t>WoS-50</t>
  </si>
  <si>
    <t>WoS-51</t>
  </si>
  <si>
    <t>- no image/text data</t>
  </si>
  <si>
    <t>A Comprehensive guide to Generative Adversarial Networks (GANs) and application to individual electricity demand</t>
  </si>
  <si>
    <t>FinDiff: Diffusion Models for Financial Tabular Data Generation</t>
  </si>
  <si>
    <t>Sattarov, Timur; Schreyer, Marco; Borth, Damian</t>
  </si>
  <si>
    <t>https://dl.acm.org/doi/10.1145/3604237.3626876</t>
  </si>
  <si>
    <t>An empirical study on evaluation metrics of generative adversarial networks</t>
  </si>
  <si>
    <t>Xu, Qiantong; Huang, Gao; Yuan, Yang; Guo, Chuan; Sun, Yu; Wu, Felix; Weinberger, Kilian</t>
  </si>
  <si>
    <t>Computer Science - Machine Learning; Statistics - Machine Learning; Computer Science - Computer Vision and Pattern Recognition</t>
  </si>
  <si>
    <t>Evaluating generative adversarial networks (GANs) is inherently challenging. In this paper, we revisit several representative sample-based evaluation metrics for GANs, and address the problem of how to evaluate the evaluation metrics. We start with a few necessary conditions for metrics to produce meaningful scores, such as distinguishing real from generated samples, identifying mode dropping and mode collapsing, and detecting overfitting. With a series of carefully designed experiments, we comprehensively investigate existing sample-based metrics and identify their strengths and limitations in practical settings. Based on these results, we observe that kernel Maximum Mean Discrepancy (MMD) and the 1-Nearest-Neighbor (1-NN) two-sample test seem to satisfy most of the desirable properties, provided that the distances between samples are computed in a suitable feature space. Our experiments also unveil interesting properties about the behavior of several popular GAN models, such as whether they are memorizing training samples, and how far they are from learning the target distribution.</t>
  </si>
  <si>
    <t>http://arxiv.org/abs/1806.07755</t>
  </si>
  <si>
    <t>Generating Synthetic Time Series for Machine-Learning-Empowered Monitoring of Electric Motor Test Benches</t>
  </si>
  <si>
    <t>Westmeier, Tobias; Botache, Diego; Bieshaar, Maarten; Sick, Bernhard</t>
  </si>
  <si>
    <t>Training; Machine learning; Time series analysis; Autoencoder; Training data; Time Series; Synthetic Data Generation; Monitoring; Deep Neuronal Networks; Electric Motor; Failure Detection; Kernel; Process monitoring; Test Benches; Traction motors; Variational Autoencoder</t>
  </si>
  <si>
    <t>The development of new electric traction machines is a time-consuming process as it involves intensive testing on motor test benches. Machine-Learning-empowered monitoring offers the opportunity to anticipate costly failures early and hence reduce development time. However, machine learning (ML) for process monitoring requires large amounts of training data, especially as the targeted fault states are scarce and yet diverse in their appearances.Therefore, we propose to use synthetic time series data to leverage the high cost of acquiring training data from experiments in real test benches. In this article, we present a novel scheme to generate synthetic data based on a sub-dimensional time series representation. We introduce a highly flexible model by mapping the data to a latent representation and approximating the latent data distribution by a Gaussian Mixture Model. In addition, we propose the Fréchet InceptionTime Distance (FITD) as a new distance measure to evaluate the generated data. It allows extracting characteristics at different scales by using multiple kernel sizes. In this way, we ensure that the synthesized data contains characteristics similar to those present in the real data. In our experiment, we train two types of fault detectors, one based on real data of a motor test bench and the other based on synthetic data. We also consider employing fault-aware conditional architectures to generate training data for different fault types explicitly. Our final results show that using synthesized data in the training process increases the performance in terms of classification accuracy score (CAS) up to 29%.</t>
  </si>
  <si>
    <t>https://ieeexplore.ieee.org/document/10032385/</t>
  </si>
  <si>
    <t>Evaluating Temporal Fidelity in Synthetic Time-series Electronic Health Records</t>
  </si>
  <si>
    <t>Budu, Emmanuella; Soliman, Amira; Rögnvaldsson, Thorsteinn; Etminani, Farzaneh</t>
  </si>
  <si>
    <t>Artificial intelligence; Time series analysis; Market research; Data privacy; synthetic data; Electronic medical records; Entropy; Electric potential; Electronic Health Records (EHRs); fidelity; similarity; times-series</t>
  </si>
  <si>
    <t>Synthetic data generation has been proposed as a potential solution to accessing Electronic Health Records (EHRs) while minimizing the privacy risks associated with real EHRs. Nevertheless, the practical use of synthetic EHRs rests on their ability to resemble the quality of real EHRs. Existing evaluations of synthetic EHRs often focus on assessing them as static snapshots frozen in time, neglecting temporal dependencies and varying temporal patterns. Moreover, some of these methods rely on subjective judgments, are limited to segmentable time-series, and employ methods that adopt a one-to-one approach. This study employs a comprehensive approach to evaluating fidelity in synthetic time-series EHRs to address these challenges. We extend the functionality of time-series analysis methods such as temporal clustering, time-series similarity measures, Sample Entropy, and trend analysis, to evaluate varying temporal patterns in synthetic time-series EHRs. Our findings provide valuable insights into how synthetic EHRs align with real EHRs in the temporal context, considering aspects such as patient groupings, temporal dynamics, predictability, and directional change. We empirically demonstrate the feasibility of assessing temporal fidelity with these methods, offering an understanding of the quality of synthetic EHRs in capturing the varying temporal patterns inherent in EHRs.</t>
  </si>
  <si>
    <t>https://ieeexplore.ieee.org/abstract/document/10605528?casa_token=T_-oHcd7ss4AAAAA:8HbLhh2-qLEzAdwYxhNV04Yax8qxL-OJ0BYeZwRUiF_GK9U2wFnhZTGYVY9vDMVeK9S5H8cUdjFkrXw</t>
  </si>
  <si>
    <t>Thinking in Categories: A Survey on Assessing the Quality for Time Series Synthesis</t>
  </si>
  <si>
    <t>Stenger, Michael; Bauer, André; Prantl, Thomas; Leppich, Robert; Hudson, Nathaniel; Chard, Kyle; Foster, Ian; Kounev, Samuel</t>
  </si>
  <si>
    <t>Time series data are widely used and provide a wealth of information for countless applications. However, some applications are faced with a limited amount of data, or the data cannot be used due to confidentiality concerns. To overcome these obstacles, time series can be generated synthetically. For example, electrocardiograms can be synthesized to make them available for building models to predict conditions such as cardiac arrhythmia without leaking patient information. Although many different approaches to time series synthesis have been proposed, evaluating the quality of synthetic time series data poses unique challenges and remains an open problem, as there is a lack of a clear definition of what constitutes a “good” synthesis. To this end, we present a comprehensive literature survey to identify different aspects of synthesis quality and their relationships. Based on this, we propose a definition of synthesis quality and a systematic evaluation procedure for assessing it. With this work, we aim to provide a common language and criteria for evaluating synthetic time series data. Our goal is to promote more rigorous and reproducible research in time series synthesis by enabling researchers and practitioners to generate high-quality synthetic time series data.</t>
  </si>
  <si>
    <t>https://dl.acm.org/doi/10.1145/3666006</t>
  </si>
  <si>
    <t>Evaluation is key: a survey on evaluation measures for synthetic time series</t>
  </si>
  <si>
    <t>Stenger, Michael; Leppich, Robert; Foster, Ian; Kounev, Samuel; Bauer, André</t>
  </si>
  <si>
    <t>Survey; Synthetic Data; Time Series; Evaluation; Measures</t>
  </si>
  <si>
    <t>Synthetic data generation describes the process of learning the underlying distribution of a given real dataset in a model, which is, in turn, sampled to produce new data objects still adhering to the original distribution. This approach often finds application where circumstances limit the availability or usability of real-world datasets, for instance, in health care due to privacy concerns. While image synthesis has received much attention in the past, time series are key for many practical (e.g., industrial) applications. To date, numerous different generative models and measures to evaluate time series syntheses have been proposed. However, regarding the defining features of high-quality synthetic time series and how to quantify quality, no consensus has yet been reached among researchers. Hence, we propose a comprehensive survey on evaluation measures for time series generation to assist users in evaluating synthetic time series. For one, we provide brief descriptions or - where applicable - precise definitions. Further, we order the measures in a taxonomy and examine applicability and usage. To assist in the selection of the most appropriate measures, we provide a concise guide for fast lookup. Notably, our findings reveal a lack of a universally accepted approach for an evaluation procedure, including the selection of appropriate measures. We believe this situation hinders progress and may even erode evaluation standards to a “do as you like”-approach to synthetic data evaluation. Therefore, this survey is a preliminary step to advance the field of synthetic data evaluation.</t>
  </si>
  <si>
    <t>https://doi.org/10.1186/s40537-024-00924-7</t>
  </si>
  <si>
    <t>Metrics for Evaluating Synthetic Time-Series Data of Battery</t>
  </si>
  <si>
    <t>Seol, Sujin; Yoon, Jaewoo; Lee, Jungeun; Kim, Byeongwoo</t>
  </si>
  <si>
    <t>synthetic data; TimeGAN; battery; data evaluation; quantitative evaluation</t>
  </si>
  <si>
    <t>The advancements in artificial intelligence have encouraged the application of deep learning in various fields. However, the accuracy of deep learning algorithms is influenced by the quality of the dataset used. Therefore, a high-quality dataset is critical for deep learning. Data augmentation algorithms can generate large, high-quality datasets. The dataset quality is mainly assessed through qualitative and quantitative evaluations. However, conventional qualitative evaluation methods lack the objective and quantitative parameters necessary for battery synthetic datasets. Therefore, this study proposes the application of the rate of change in linear regression correlation coefficients, Dunn index, and silhouette coefficient as clustering indices for quantitatively evaluating the quality of synthetic time-series datasets of batteries. To verify the reliability of the proposed method, we first applied the TimeGAN algorithm to an open-source battery dataset, generated a synthetic battery dataset, and then compared its similarity to the original dataset using the proposed evaluation method. The silhouette coefficient was confirmed as the most reliable index. Furthermore, the similarity of datasets increased as the silhouette index decreased from 0.1053 to 0.0073 based on the number of learning iterations. The results demonstrate that the insufficient quality of datasets used for deep learning can be overcome and supplemented. Furthermore, data similarity can be efficiently evaluated regardless of the learning environment. In conclusion, we present a new synthetic time-series dataset evaluation method that is more reliable than the conventional representative evaluation method (the training loss rate).</t>
  </si>
  <si>
    <t>https://www.mdpi.com/2076-3417/14/14/6088</t>
  </si>
  <si>
    <t>Budu, Emmanuella; Etminani, Kobra; Soliman, Amira; Rögnvaldsson, Thorsteinn</t>
  </si>
  <si>
    <t>Synthetic data; Evaluation; Electronic health records (EHRs)</t>
  </si>
  <si>
    <t>Recent studies have shown how synthetic data generation methods can be applied to electronic health records (EHRs) to obtain synthetic versions that do not violate privacy rules. This growing body of research has resulted in the emergence of numerous methods for evaluating the quality of generated data, with new publications often introducing novel evaluation methods. This work presents a detailed review of synthetic EHRs, focusing on the various evaluation methods used to assess the quality of the generated EHRs. We discuss the existing evaluation methods, offering insights into their use as well as providing an interpretation of the evaluation metrics from the perspectives of achieving fidelity, utility and privacy. Furthermore, we highlight the key factors influencing the selection of evaluation methods, such as the type of data (e.g., categorical, continuous, or discrete) and the mode of application (e.g., patient level, cohort level, and feature level). To assess the effectiveness of current evaluation measures, we conduct a series of experiments to shed light on the potential limitations of these measures. The findings from these experiments reveal notable shortcomings, including the need for meticulous application of methods to the data to reduce inconsistent evaluations, the qualitative nature of some assessments subject to individual judgment, the need for clinical validations, and the absence of techniques to evaluate temporal dependencies within the data. This highlights the need to place greater emphasis on evaluation measures, their application, and the development of comprehensive evaluation frameworks as it is crucial for advancing progress in this field.</t>
  </si>
  <si>
    <t>https://www.sciencedirect.com/science/article/pii/S0925231224010245</t>
  </si>
  <si>
    <t>Yilmaz, Bilgi; Korn, Ralf</t>
  </si>
  <si>
    <t>Synthetic data generation; Generative adversarial networks; Evaluation metrics</t>
  </si>
  <si>
    <t>Generative Adversarial Networks (GANs) have become a popular research topic in many research fields in the last decade. The fragmented body of knowledge on GANs drives researchers to a trial-and-error procedure while choosing the right GAN for a given task. This study provides a comprehensive guide on GANs, where we start with considering problems such as nonconvergence, mode collapse, vanishing gradient, and unstable training. We then compare various GANs concerning the application perspective, their outputs, and evaluation metrics. In addition, we suggest using a new evaluation metric to identify the best candidate of GANs for time series tasks, the so-called average coverage error (ACE). Finally, we discuss the application of the ACE using the electricity consumption of an individual industry customer and display significant selection criteria. The ACE is beneficial in identifying the best GANs by comparing outcomes and reduces the computational cost of searching related to the evaluation metrics.</t>
  </si>
  <si>
    <t>https://www.sciencedirect.com/science/article/pii/S0957417424007176</t>
  </si>
  <si>
    <t>PVS-GEN: Systematic Approach for Universal Synthetic Data Generation Involving Parameterization, Verification, and Segmentation</t>
  </si>
  <si>
    <t>Kim, Kyung-Min; Kwak, Jong Wook</t>
  </si>
  <si>
    <t>synthetic data generation; IoT data generation; possibility of reproducibility; time-series sensor data; time-series synthesis</t>
  </si>
  <si>
    <t>Synthetic data generation addresses the challenges of obtaining extensive empirical datasets, offering benefits such as cost-effectiveness, time efficiency, and robust model development. Nonetheless, synthetic data-generation methodologies still encounter significant difficulties, including a lack of standardized metrics for modeling different data types and comparing generated results. This study introduces PVS-GEN, an automated, general-purpose process for synthetic data generation and verification. The PVS-GEN method parameterizes time-series data with minimal human intervention and verifies model construction using a specific metric derived from extracted parameters. For complex data, the process iteratively segments the empirical dataset until an extracted parameter can reproduce synthetic data that reflects the empirical characteristics, irrespective of the sensor data type. Moreover, we introduce the PoR metric to quantify the quality of the generated data by evaluating its time-series characteristics. Consequently, the proposed method can automatically generate diverse time-series data that covers a wide range of sensor types. We compared PVS-GEN with existing synthetic data-generation methodologies, and PVS-GEN demonstrated a superior performance. It generated data with a similarity of up to 37.1% across multiple data types and by 19.6% on average using the proposed metric, irrespective of the data type.</t>
  </si>
  <si>
    <t>https://www.mdpi.com/1424-8220/24/1/266</t>
  </si>
  <si>
    <t>Budu, Emmanuella; Soliman, Amira; Etminani, Kobra; Rögnvaldsson, Thorsteinn</t>
  </si>
  <si>
    <t>Synthetic data generation can be applied to Electronic Health Records (EHRs) to obtain synthetic versions that do not compromise patients’ privacy. However, the proliferation of synthetic data generation techniques has led to the introduction of a wide variety of methods for evaluating the quality of generated data. This makes the task of evaluating generated data from different models challenging as there is no consensus on the methods used. Hence the need for standard ways of evaluating the generated data. In addition, the available methods do not assess whether dependencies between different variables are maintained in the synthetic data. Furthermore, synthetic time series EHRs (patient encounters) are not well investigated, as the available methods do not consider the temporality of patient encounters. In this work, we present an overview of evaluation methods and propose an evaluation framework to guide the evaluation of synthetic EHRs.</t>
  </si>
  <si>
    <t>https://ebooks.iospress.nl/doi/10.3233/SHTI230149</t>
  </si>
  <si>
    <t>Synthcity: a benchmark framework for diverse use cases of tabular synthetic data</t>
  </si>
  <si>
    <t>Qian, Zhaozhi; Davis, Rob; van der Schaar, Mihaela</t>
  </si>
  <si>
    <t>https://proceedings.neurips.cc/paper_files/paper/2023/hash/09723c9f291f6056fd1885081859c186-Abstract-Datasets_and_Benchmarks.html</t>
  </si>
  <si>
    <t>Qualitative and Quantitative Evaluation of Multivariate Time-Series Synthetic Data Generated Using MTS-TGAN: A Novel Approach</t>
  </si>
  <si>
    <t>Yadav, Parul; Gaur, Manish; Fatima, Nishat; Sarwar, Saqib</t>
  </si>
  <si>
    <t>synthetic data generation; generative adversarial network; deep neural network; multivariate time-series data</t>
  </si>
  <si>
    <t>To obtain high performance, generalization, and accuracy in machine learning applications, such as prediction or anomaly detection, large datasets are a necessary prerequisite. Moreover, the collection of data is time-consuming, difficult, and expensive for many imbalanced or small datasets. These challenges are evident in collecting data for financial and banking services, pharmaceuticals and healthcare, manufacturing and the automobile, robotics car, sensor time-series data, and many more. To overcome the challenges of data collection, researchers in many domains are becoming more and more interested in the development or generation of synthetic data. Generating synthetic time-series data is far more complicated and expensive than generating synthetic tabular data. The primary objective of the paper is to generate multivariate time-series data (for continuous and mixed parameters) that are comparable and evaluated with real multivariate time-series synthetic data. After being trained to produce such data, a novel GAN architecture named as MTS-TGAN is proposed and then assessed using both qualitative measures namely t-SNE, PCA, discriminative and predictive scores as well as quantitative measures, for which an RNN model is implemented, which calculates MAE and MSLE scores for three training phases; Train Real Test Real, Train Real Test Synthetic and Train Synthetic Test Real. The model is able to reduce the overall error up to 13% and 10% in predictive and discriminative scores, respectively. The research’s objectives are met, and the outcomes demonstrate that MTS-TGAN is able to pick up on the distribution and underlying knowledge included in the attributes of the real data and it can serve as a starting point for additional research in the respective area.</t>
  </si>
  <si>
    <t>https://www.mdpi.com/2076-3417/13/7/4136</t>
  </si>
  <si>
    <t>Investigating synthetic medical time-series resemblance</t>
  </si>
  <si>
    <t>Bhanot, Karan; Pedersen, Joseph; Guyon, Isabelle; Bennett, Kristin P.</t>
  </si>
  <si>
    <t>Healthcare; Covariate; Medical; Resemblance; Synthetic; Time-series</t>
  </si>
  <si>
    <t>Access to private medical data is restricted due to privacy laws, hindering research and real-world use. Synthetic data generation provides a viable solution by generating data with high utility and privacy protection without releasing the real data. Healthcare data records are often longitudinal in nature, being affected by covariates like age, gender, ethnicity, etc. As a result, synthetic healthcare data generation falls in the domain of time-series modeling and requires time-series based measures to investigate real and synthetic data resemblance. Covariate plots can be used for qualitative time-series resemblance but lack an empirical quantitative measure, thus, resulting in interpretations biased towards viewer’s perspective. In this paper, we describe four time-series metrics to quantitatively evaluate the real and synthetic time-series resemblance on datasets from previously published healthcare research studies, both public and private. We apply the metrics on covariate plots for synthetic datasets to investigate the resemblance and compare the results with baseline synthetic datasets. We infer that the metrics effectively capture the time-series resemblance between real and synthetic datasets. The results highlight varying degrees of resemblance across sub-groups of covariates and multivariate time-series.</t>
  </si>
  <si>
    <t>https://www.sciencedirect.com/science/article/pii/S0925231222004933</t>
  </si>
  <si>
    <t>Adversarial Generation of Temporal Data: A Critique on Fidelity of Synthetic Data</t>
  </si>
  <si>
    <t>Debnath, Ankur; Gupta, Nitish; Waghmare, Govind; Wadhwa, Hardik; Asthana, Siddhartha; Arora, Ankur</t>
  </si>
  <si>
    <t>Time series; Adversarial temporal generation; Fidelity</t>
  </si>
  <si>
    <t>Generative modelling for temporal data has seen a paradigm shift from autoregressive to adversarial models. Adversarial generation algorithms have proven to be more efficient in capturing the complex temporal correlations that the simplistic autoregressive model could not. Albeit, high-fidelity remains a concern even for adversarial modelling. The generation of high-fidelity data requires the model to have three strengths: capture feature correlations, model long-term dependencies, and scalability in dimensions. This paper analyzes these strengths on the existing methods of adversarial temporal generation regarding the fidelity of synthetic data. Towards this, we evaluate different algorithms for adversarial temporal generation on five different datasets of varying dynamics (long-term vs. short-term dependency) and dimensionality. We conclude by discussing gaps in the literature and future directions for high fidelity temporal data generation through adversarial methods.</t>
  </si>
  <si>
    <t>Wolf, Maximilian; Tritscher, Julian; Landes, Dieter; Hotho, Andreas; Schlör, Daniel</t>
  </si>
  <si>
    <t>GAN; Synthetic data; Evaluation; Generator; GPT; Benchmark; NetFlow</t>
  </si>
  <si>
    <t>The development of Network Intrusion Detection Systems (NIDS) requires labeled network traffic, especially to train and evaluate machine learning approaches. Besides the recording of traffic, the generation of traffic via generative models is a promising approach to obtain vast amounts of labeled data. There exist various machine learning approaches for data generation, but the assessment of the data quality is complex and not standardized. The lack of common quality criteria complicates the comparison of synthetic data generation approaches and synthetic data. Our work addresses this gap in multiple steps. Firstly, we review and categorize existing approaches for evaluating synthetic data in the network traffic domain and other data domains as well. Secondly, based on our review, we compile a setup of metrics that are suitable for the NetFlow domain, which we aggregate into two metrics Data Dissimilarity Score and Domain Dissimilarity Score. Thirdly, we evaluate the proposed metrics on real world data sets, to demonstrate their ability to distinguish between samples from different data sets. As a final step, we conduct a case study to demonstrate the application of the metrics for the evaluation of synthetic data. We calculate the metrics on samples from real NetFlow data sets to define an upper and lower bound for inter- and intra-data set similarity scores. Afterward, we generate synthetic data via Generative Adversarial Network (GAN) and Generative Pre-trained Transformer 2 (GPT-2) and apply the metrics to these synthetic data and incorporate these lower bound baseline results to obtain an objective benchmark. The application of the benchmarking process is demonstrated on three NetFlow benchmark data sets, NF-CSE-CIC-IDS2018, NF-ToN-IoT and NF-UNSW-NB15. Our demonstration indicates that this benchmark framework captures the differences in similarity between real world data and synthetic data of varying quality well, and can therefore be used to assess the quality of generated synthetic data.</t>
  </si>
  <si>
    <t>https://www.sciencedirect.com/science/article/pii/S0167404824002980</t>
  </si>
  <si>
    <t>Degardin, Bruno; Lopes, Vasco; Proença, Hugo</t>
  </si>
  <si>
    <t>Bayes methods; Generative adversarial networks; generative adversarial networks; Self-supervised learning; Human activity recognition; Biometrics (access control); graph convolutional networks; Graph convolutional networks; self-supervised learning; skeleton-based action recognition; Weakly-supervised learning</t>
  </si>
  <si>
    <t>Skeleton-based generative modelling is an important research topic to mitigate the heavy annotation process. In this work, we explore the impact of synthetic data on skeleton-based action recognition alongside its evaluation methods for more precise quality extraction. We propose a novel iterative weakly-supervised learning generative strategy for synthesising high-quality human actions. We combine conditional generative models with Bayesian classifiers to select the highest-quality samples. As an essential factor, we designed a discriminator network that, together with a Bayesian classifier relies on the most realistic instances to augment the amount of data available for the next iteration without requiring standard cumbersome annotation processes. Additionally, as a key contribution to assessing the quality of samples, we propose a novel measure based on human kinematics instead of employing commonly used evaluation methods, which are heavily based on images. The rationale is to capture the intrinsic characteristics of human skeleton dynamics, thereby complementing model comparison and alleviating the need to manually select the best samples. Experiments were carried out over four benchmarks of two well-known datasets (NTU RGB+D and NTU-120 RGB+D), where both our framework and model assessment can notably enhance skeleton-based action recognition and generation models by synthesising high-quality and realistic human actions.</t>
  </si>
  <si>
    <t>https://ieeexplore.ieee.org/abstract/document/10468649?casa_token=wDVGNrfoeXYAAAAA:grpA1toGijA3mBK9Zk614rTgf2UXFYbx-dTQF42r-WSVleNMoSRLkx_pGBW-Jfy7_cvm0xM-r_zulRU</t>
  </si>
  <si>
    <t>Himmelhuber, Anna; Joblin, Mitchell; Ringsquandl, Martin; Runkler, Thomas</t>
  </si>
  <si>
    <t>Hernandez, Mikel; Osorio-Marulanda, Pablo A.; Catalina, Mikel; Loinaz, Lorea; Epelde, Gorka; Aginako, Naiara</t>
  </si>
  <si>
    <t>differential privacy; synthetic data generation; generative models; synthetic data evaluation; privacy risk measureattacks; synthetic data fidelity; synthetic data privacy; synthetic data utility</t>
  </si>
  <si>
    <t>https://www.frontiersin.org/journals/digital-health/articles/10.3389/fdgth.2025.1576290/full</t>
  </si>
  <si>
    <t>Advancing Retail Data Science: Comprehensive Evaluation of Synthetic Data</t>
  </si>
  <si>
    <t>FEST: A Unified Framework for Evaluating Synthetic Tabular Data</t>
  </si>
  <si>
    <t>Niu, Weijie; Celdran, Alberto Huertas; Siarsky, Karoline; Stiller, Burkhard</t>
  </si>
  <si>
    <t>Computer Science - Machine Learning</t>
  </si>
  <si>
    <t>Synthetic data generation, leveraging generative machine learning techniques, offers a promising approach to mitigating privacy concerns associated with real-world data usage. Synthetic data closely resembles real-world data while maintaining strong privacy guarantees. However, a comprehensive assessment framework is still missing in the evaluation of synthetic data generation, especially when considering the balance between privacy preservation and data utility in synthetic data. This research bridges this gap by proposing FEST, a systematic framework for evaluating synthetic tabular data. FEST integrates diverse privacy metrics (attack-based and distance-based), along with similarity and machine learning utility metrics, to provide a holistic assessment. We develop FEST as an open-source Python-based library and validate it on multiple datasets, demonstrating its effectiveness in analyzing the privacy-utility trade-off of different synthetic data generation models. The source code of FEST is available on Github.</t>
  </si>
  <si>
    <t>http://arxiv.org/abs/2508.16254</t>
  </si>
  <si>
    <t>Vallevik, Vibeke Binz; Babic, Aleksandar; Marshall, Serena E.; Elvatun, Severin; Brøgger, Helga M. B.; Alagaratnam, Sharmini; Edwin, Bjørn; Veeraragavan, Narasimha R.; Befring, Anne Kjersti; Nygård, Jan F.</t>
  </si>
  <si>
    <t>Humans; Healthcare; AI; Deep generative models; Taxonomy; Trust; Delivery of Health Care; Evaluation framework; Health Facilities; Synthetic tabular data</t>
  </si>
  <si>
    <t>BACKGROUND: Ensuring safe adoption of AI tools in healthcare hinges on access to sufficient data for training, testing and validation. Synthetic data has been suggested in response to privacy concerns and regulatory requirements and can be created by training a generator on real data to produce a dataset with similar statistical properties. Competing metrics with differing taxonomies for quality evaluation have been proposed, resulting in a complex landscape. Optimising quality entails balancing considerations that make the data fit for use, yet relevant dimensions are left out of existing frameworks. METHOD: We performed a comprehensive literature review on the use of quality evaluation metrics on synthetic data within the scope of synthetic tabular healthcare data using deep generative methods. Based on this and the collective team experiences, we developed a conceptual framework for quality assurance. The applicability was benchmarked against a practical case from the Dutch National Cancer Registry. CONCLUSION: We present a conceptual framework for quality assuranceof synthetic data for AI applications in healthcare that aligns diverging taxonomies, expands on common quality dimensions to include the dimensions of Fairness and Carbon footprint, and proposes stages necessary to support real-life applications. Building trust in synthetic data by increasing transparency and reducing the safety risk will accelerate the development and uptake of trustworthy AI tools for the benefit of patients. DISCUSSION: Despite the growing emphasis on algorithmic fairness and carbon footprint, these metrics were scarce in the literature review. The overwhelming focus was on statistical similarity using distance metrics while sequential logic detection was scarce. A consensus-backed framework that includes all relevant quality dimensions can provide assurance for safe and responsible real-life applications of synthetic data. As the choice of appropriate metrics are highly context dependent, further research is needed on validation studies to guide metric choices and support the development of technical standards.</t>
  </si>
  <si>
    <t>Zamzmi, Ghada; Subbaswamy, Adarsh; Sizikova, Elena; Margerrison, Edward; Delfino, Jana G.; Badano, Aldo</t>
  </si>
  <si>
    <t>Computer science; Computational science; Scientific data; Biomedical engineering; Medical imaging</t>
  </si>
  <si>
    <t>https://www.nature.com/articles/s44172-025-00450-1</t>
  </si>
  <si>
    <t>Xia, Yu; Wang, Chi-Hua; Mabry, Joshua; Cheng, Guang</t>
  </si>
  <si>
    <t>Computer Science - Machine Learning; Statistics - Machine Learning</t>
  </si>
  <si>
    <t>The evaluation of synthetic data generation is crucial, especially in the retail sector where data accuracy is paramount. This paper introduces a comprehensive framework for assessing synthetic retail data, focusing on fidelity, utility, and privacy. Our approach differentiates between continuous and discrete data attributes, providing precise evaluation criteria. Fidelity is measured through stability and generalizability. Stability ensures synthetic data accurately replicates known data distributions, while generalizability confirms its robustness in novel scenarios. Utility is demonstrated through the synthetic data's effectiveness in critical retail tasks such as demand forecasting and dynamic pricing, proving its value in predictive analytics and strategic planning. Privacy is safeguarded using Differential Privacy, ensuring synthetic data maintains a perfect balance between resembling training and holdout datasets without compromising security. Our findings validate that this framework provides reliable and scalable evaluation for synthetic retail data. It ensures high fidelity, utility, and privacy, making it an essential tool for advancing retail data science. This framework meets the evolving needs of the retail industry with precision and confidence, paving the way for future advancements in synthetic data methodologies.</t>
  </si>
  <si>
    <t>http://arxiv.org/abs/2406.13130</t>
  </si>
  <si>
    <t>Forward-1</t>
  </si>
  <si>
    <t>Forward-2</t>
  </si>
  <si>
    <t>Forward-3</t>
  </si>
  <si>
    <t>Forward-4</t>
  </si>
  <si>
    <t>Forward-5</t>
  </si>
  <si>
    <t>Forward-6</t>
  </si>
  <si>
    <t>Forward-7</t>
  </si>
  <si>
    <t>Forward-8</t>
  </si>
  <si>
    <t>Forward-9</t>
  </si>
  <si>
    <t>Forward-10</t>
  </si>
  <si>
    <t>Forward-11</t>
  </si>
  <si>
    <t>Forward-12</t>
  </si>
  <si>
    <t>Forward-13</t>
  </si>
  <si>
    <t>Forward-14</t>
  </si>
  <si>
    <t>Forward-15</t>
  </si>
  <si>
    <t>Forward-16</t>
  </si>
  <si>
    <t>Forward-17</t>
  </si>
  <si>
    <t>Forward-18</t>
  </si>
  <si>
    <t>Forward-19</t>
  </si>
  <si>
    <t>Forward-20</t>
  </si>
  <si>
    <t>Forward-21</t>
  </si>
  <si>
    <t>Forward-22</t>
  </si>
  <si>
    <t>Forward-23</t>
  </si>
  <si>
    <t>GraphVAE: Towards Generation of Small Graphs Using Variational Autoencoders</t>
  </si>
  <si>
    <t>Simonovsky, Martin; Komodakis, Nikos</t>
  </si>
  <si>
    <t>http://link.springer.com/10.1007/978-3-030-01418-6_41</t>
  </si>
  <si>
    <t>Forward-24</t>
  </si>
  <si>
    <t>Forward-25</t>
  </si>
  <si>
    <t>Forward-26</t>
  </si>
  <si>
    <t>Forward-27</t>
  </si>
  <si>
    <t>Coherent Multi-Table Data Synthesis for Tabular and Time-Series Data with GANs</t>
  </si>
  <si>
    <t>Elliker, C.; Tonnelier, E.; Shabou, A.</t>
  </si>
  <si>
    <t>As the usage of user-private-data is increasingly monitored by regulatory institutions for security purposes, its transfer becomes more constrained. Synthetic data has recently emerged as a viable alternative to prevent the disclosure of user-protected information that complies with data sharing regulations. Both public and private sectors commonly use a combination of tabular and time-series tables that often contains user-related sensitive information. They are usually intrinsically interlinked as they describe the users and their behaviors over different perimeters. Moreover, it contains both numerical and categorical features, adding complexity to the anonymization task. State of the art generative methods, specialized either in tabular or time-series data, are able to generate high quality synthetic data. However, if each table is generated independently, it becomes impossible to link them. As a result, the usability of such synthetic data is impacted. To address this issue, we not only propose a coherent multi-table generative model that uses Generative Adversarial Networks (GANs) to sample both tabular and time-series tables , but also a conditional time-series generative model that handles both numerical and categorical features. Additionally, many experiments are conducted to analyse the inner modules of our model and evaluate it on an in-house private dataset in order to prove the viability of the synthetic data generated for machine learning tasks.</t>
  </si>
  <si>
    <t>https://dl.acm.org/doi/10.1145/3626232.3653255</t>
  </si>
  <si>
    <t>Sivaroopan, N.; Madarasingha, C.; Muramudalige, S.; Jourjon, G.; Jayasumana, A.; Thilakarathna, K.</t>
  </si>
  <si>
    <t>SyNIG: Synthetic Network Traffic Generation through Time Series Imaging</t>
  </si>
  <si>
    <t>Immense growth of network usage and the associated proliferation of network, traffic, traffic classes, and diverse QoS requirements pose numerous challenges for network operators. Though data-driven approaches can provide better solutions for these challenges, limited data has been a barrier to developing those methods with high resiliency. In this work, we propose SyNIG (Synthetic Network Traffic Generation through Time Series Imaging), which utilizes Generative Adversarial Networks (GANs) for network traffic synthesis by converting time series data to a specific image format called GASF (Gramian Angular Summation Field). With GASF images we encode correlation between samples in 1D signals on a single 2D pixel map. Taking three types of network traffic; video streaming, accessing websites and IoT, we synthesize over 200,000 traces using over 40,000 original traces generalizing our method for different network traffic. We validate our method by demonstrating the fidelity of the synthetic data and applying them to several network related use cases showing improved performance.</t>
  </si>
  <si>
    <t>https://ieeexplore.ieee.org/abstract/document/10223392?casa_token=SpgSUY7vbkkAAAAA:SF7mPIdAJndGm3N9-ZB38Jerv36kS8SksCbkEWiETAOBH2mrQz3C8yPq0dkQ4hzpqUu-JZb_u0jwaHw</t>
  </si>
  <si>
    <t>GlucoSynth: Generating Differentially-Private Synthetic Glucose Traces</t>
  </si>
  <si>
    <t>Lamp, J.; Derdzinski, M.; Hannemann, C.; van der Linden, J.;Feng, L.; Wang, T.; Evans, D.</t>
  </si>
  <si>
    <t>https://proceedings.neurips.cc/paper_files/paper/2023/hash/0ab51646ca369140c3c3ece011b66587-Abstract-Conference.html</t>
  </si>
  <si>
    <t>Forward-28</t>
  </si>
  <si>
    <t>Improving Time Series Generation of GANs through Soft Dynamic Time Warping Loss</t>
  </si>
  <si>
    <t>Yu, X.; Karray, F.</t>
  </si>
  <si>
    <t>With the rising popularity of Generative Adversarial Networks (GANs) in generating synthetic data, time series are no exception to this trend. In this work, we propose two novel loss functions sDTW-p and sDTW-m based on SoftDynamic Time Warping that can be used to improve the generated time series without modifications to the existing architecture. We also present the first evaluation of the generated samples across different sequence length. Lastly, we show empirically that the result of leveraging our loss function can lead to a 9% improvement according to our metric.</t>
  </si>
  <si>
    <t>https://ieeexplore.ieee.org/abstract/document/9945231?casa_token=Y2Lje2B2gMQAAAAA:35hhfDPyYPFZCZq4NyvkRvHljjhMbgtT5PwFoE7f8e4905-0_K2ewql4FNL1qgtF0iNQAeoAJ515PrQ</t>
  </si>
  <si>
    <t>Syntheval: a framework for detailed utility and privacy evaluation of tabular synthetic data: SynthEval: a framework for detailed</t>
  </si>
  <si>
    <t>Kurakova &amp; Homayouni 2025</t>
  </si>
  <si>
    <t>x
(quality)</t>
  </si>
  <si>
    <t>x
(privacy)</t>
  </si>
  <si>
    <t>x
(ML Usability)</t>
  </si>
  <si>
    <t>x
(computational complexity)</t>
  </si>
  <si>
    <t>- metircs grouped into categories</t>
  </si>
  <si>
    <t>Xia et al. 2024</t>
  </si>
  <si>
    <t>x
(fidelity - similarity of marginal distribution)</t>
  </si>
  <si>
    <t>x
(fidelity - similarity of joint distribution)</t>
  </si>
  <si>
    <t>x
(utility)</t>
  </si>
  <si>
    <t>No metric categories</t>
  </si>
  <si>
    <t>x
(fairness)</t>
  </si>
  <si>
    <t>Pereira et al. 2024</t>
  </si>
  <si>
    <t>x
(carbon footprint and computational complexity)</t>
  </si>
  <si>
    <t>x
(representativeness - usability)</t>
  </si>
  <si>
    <t>x
(Representativity - Similarity)</t>
  </si>
  <si>
    <t>Vallevik et al. 2024</t>
  </si>
  <si>
    <t>Budu et al. 2024a</t>
  </si>
  <si>
    <t>Budu et al. 2024b</t>
  </si>
  <si>
    <t>x
(fidelity)</t>
  </si>
  <si>
    <t>x
(micro-statistics)</t>
  </si>
  <si>
    <t>x
(macro-statistics)</t>
  </si>
  <si>
    <t>x
(data utility)</t>
  </si>
  <si>
    <t>Galloni et al. 2023</t>
  </si>
  <si>
    <t>x
(standard and casual fairness)</t>
  </si>
  <si>
    <t>Nagesh et al. 2025</t>
  </si>
  <si>
    <t>x
(machine learning utility)</t>
  </si>
  <si>
    <t>x
(privacy assessment)</t>
  </si>
  <si>
    <t>x
(statistical similarity assessment)</t>
  </si>
  <si>
    <t>Niu et al. 2025</t>
  </si>
  <si>
    <t>Incomplete Paper</t>
  </si>
  <si>
    <t>x
(evaluation of utility)</t>
  </si>
  <si>
    <t>x
(evaluation of privacy)</t>
  </si>
  <si>
    <t>x
(evaluation of fidelity)</t>
  </si>
  <si>
    <t>x
(evaluation of diversity)</t>
  </si>
  <si>
    <t>Ibrahim et al. 2025</t>
  </si>
  <si>
    <t>x
(resemblance)</t>
  </si>
  <si>
    <t>Perkonoja et al. 2025</t>
  </si>
  <si>
    <t>Just introduces a single quality metric</t>
  </si>
  <si>
    <t>x
(qualitative evaluation)</t>
  </si>
  <si>
    <t>x
(quantitative evaluation)</t>
  </si>
  <si>
    <t>Yadav et al. 2023</t>
  </si>
  <si>
    <t>x
(task-based evaluation)</t>
  </si>
  <si>
    <t>x
(congruence)</t>
  </si>
  <si>
    <t>x
(coverage)</t>
  </si>
  <si>
    <t>x
(completness)</t>
  </si>
  <si>
    <t>x
(congruence, consistency)</t>
  </si>
  <si>
    <t>x
(constraint, comprehension)</t>
  </si>
  <si>
    <t>Zamzmi et al. 2025</t>
  </si>
  <si>
    <t>x
(model-based metrics)</t>
  </si>
  <si>
    <t>x
(temporal metrics)</t>
  </si>
  <si>
    <t>Souid et al. 2024</t>
  </si>
  <si>
    <t>x
(resemblance metrics)</t>
  </si>
  <si>
    <t>x
(utility metrics)</t>
  </si>
  <si>
    <t>x
(fairness metrics)</t>
  </si>
  <si>
    <t>Warnecke et al. 2025</t>
  </si>
  <si>
    <t>Does not introduce new categories, but refers to Stenger et al. 2024</t>
  </si>
  <si>
    <t>x
(utility score)</t>
  </si>
  <si>
    <t>x
(privacy score)</t>
  </si>
  <si>
    <t>Höllig &amp; Geierhos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</si>
</sst>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sz val="12"/>
      <color theme="1"/>
      <name val="Calibri"/>
      <family val="2"/>
      <scheme val="minor"/>
    </font>
    <font>
      <b/>
      <sz val="16"/>
      <color theme="1"/>
      <name val="Calibri"/>
      <family val="2"/>
      <scheme val="minor"/>
    </font>
    <font>
      <sz val="10"/>
      <color theme="1"/>
      <name val="Arial Unicode MS"/>
      <family val="2"/>
    </font>
    <font>
      <u/>
      <sz val="11"/>
      <color theme="10"/>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7"/>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1" fillId="2" borderId="1" xfId="0" applyFont="1" applyFill="1" applyBorder="1"/>
    <xf numFmtId="0" fontId="1" fillId="2" borderId="2" xfId="0" applyFont="1" applyFill="1" applyBorder="1"/>
    <xf numFmtId="0" fontId="0" fillId="3" borderId="1" xfId="0" applyFill="1" applyBorder="1" applyAlignment="1">
      <alignment wrapText="1"/>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2" fillId="0" borderId="2" xfId="0" applyFont="1" applyBorder="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5" xfId="0" applyFont="1" applyBorder="1"/>
    <xf numFmtId="0" fontId="1" fillId="0" borderId="6" xfId="0" applyFont="1" applyBorder="1"/>
    <xf numFmtId="0" fontId="1" fillId="0" borderId="6" xfId="0" applyFont="1" applyBorder="1" applyAlignment="1">
      <alignment horizontal="left"/>
    </xf>
    <xf numFmtId="0" fontId="1" fillId="0" borderId="7" xfId="0" applyFont="1" applyBorder="1"/>
    <xf numFmtId="0" fontId="0" fillId="0" borderId="0" xfId="0" quotePrefix="1"/>
    <xf numFmtId="0" fontId="1" fillId="2" borderId="0" xfId="0" applyFont="1" applyFill="1"/>
    <xf numFmtId="0" fontId="0" fillId="0" borderId="0" xfId="0" applyAlignment="1">
      <alignment horizontal="center" vertical="center"/>
    </xf>
    <xf numFmtId="0" fontId="4" fillId="0" borderId="0" xfId="0" applyFont="1" applyAlignment="1">
      <alignment vertical="center"/>
    </xf>
    <xf numFmtId="0" fontId="3" fillId="0" borderId="0" xfId="0" applyFont="1"/>
    <xf numFmtId="0" fontId="1" fillId="2" borderId="5" xfId="0" applyFont="1" applyFill="1" applyBorder="1"/>
    <xf numFmtId="0" fontId="1" fillId="2" borderId="6" xfId="0" applyFont="1" applyFill="1" applyBorder="1"/>
    <xf numFmtId="0" fontId="1" fillId="2" borderId="6" xfId="0" applyFont="1" applyFill="1" applyBorder="1" applyAlignment="1">
      <alignment horizontal="left"/>
    </xf>
    <xf numFmtId="0" fontId="1" fillId="2" borderId="7" xfId="0" applyFont="1" applyFill="1" applyBorder="1"/>
    <xf numFmtId="0" fontId="0" fillId="4" borderId="0" xfId="0" applyFill="1"/>
    <xf numFmtId="0" fontId="6" fillId="0" borderId="0" xfId="0" applyFont="1" applyAlignment="1">
      <alignment vertical="center"/>
    </xf>
    <xf numFmtId="0" fontId="6"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wrapText="1"/>
    </xf>
    <xf numFmtId="0" fontId="6" fillId="0" borderId="0" xfId="0" applyFont="1"/>
    <xf numFmtId="0" fontId="0" fillId="0" borderId="0" xfId="0" quotePrefix="1" applyAlignment="1">
      <alignment horizontal="center"/>
    </xf>
    <xf numFmtId="0" fontId="0" fillId="0" borderId="0" xfId="0" applyAlignment="1">
      <alignment horizontal="center" vertical="top" wrapText="1"/>
    </xf>
    <xf numFmtId="0" fontId="6" fillId="0" borderId="0" xfId="0" applyFont="1" applyAlignment="1">
      <alignment horizontal="center"/>
    </xf>
    <xf numFmtId="0" fontId="5" fillId="0" borderId="0" xfId="1" applyFill="1"/>
    <xf numFmtId="0" fontId="0" fillId="5" borderId="0" xfId="0" applyFill="1"/>
    <xf numFmtId="0" fontId="0" fillId="0" borderId="0" xfId="0" applyAlignment="1">
      <alignment horizontal="center" textRotation="90" wrapText="1"/>
    </xf>
    <xf numFmtId="0" fontId="0" fillId="0" borderId="0" xfId="0" applyAlignment="1">
      <alignment horizontal="center" textRotation="90"/>
    </xf>
    <xf numFmtId="0" fontId="0" fillId="0" borderId="0" xfId="0" quotePrefix="1" applyAlignment="1">
      <alignment horizontal="center" wrapText="1"/>
    </xf>
    <xf numFmtId="0" fontId="6"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horizontal="center" vertical="center"/>
    </xf>
    <xf numFmtId="0" fontId="8" fillId="0" borderId="0" xfId="0" applyFont="1" applyAlignment="1">
      <alignment horizontal="center"/>
    </xf>
  </cellXfs>
  <cellStyles count="2">
    <cellStyle name="Hyperlink" xfId="1" builtinId="8"/>
    <cellStyle name="Normal" xfId="0" builtinId="0"/>
  </cellStyles>
  <dxfs count="49">
    <dxf>
      <font>
        <color rgb="FF9C0006"/>
      </font>
      <fill>
        <patternFill>
          <bgColor rgb="FFFFC7CE"/>
        </patternFill>
      </fill>
    </dxf>
    <dxf>
      <font>
        <color rgb="FF9C0006"/>
      </font>
      <fill>
        <patternFill>
          <bgColor rgb="FFFFC7CE"/>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theme="9" tint="0.39997558519241921"/>
        </left>
        <right/>
        <top style="thin">
          <color theme="9" tint="0.39997558519241921"/>
        </top>
        <bottom style="thin">
          <color theme="9" tint="0.39997558519241921"/>
        </bottom>
      </border>
    </dxf>
    <dxf>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numFmt numFmtId="0" formatCode="General"/>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5EE088-6D51-4A63-A5EA-F94C9F2FCC67}" name="Table6" displayName="Table6" ref="A1:M105" totalsRowShown="0">
  <autoFilter ref="A1:M105" xr:uid="{785EE088-6D51-4A63-A5EA-F94C9F2FCC67}">
    <filterColumn colId="3">
      <filters>
        <filter val="TRUE"/>
      </filters>
    </filterColumn>
    <filterColumn colId="7">
      <filters>
        <filter val="TRUE"/>
      </filters>
    </filterColumn>
  </autoFilter>
  <sortState xmlns:xlrd2="http://schemas.microsoft.com/office/spreadsheetml/2017/richdata2" ref="A5:M105">
    <sortCondition ref="C1:C105"/>
  </sortState>
  <tableColumns count="13">
    <tableColumn id="1" xr3:uid="{23E9646C-A4BA-4F27-AB20-03A9232C8F96}" name="ID"/>
    <tableColumn id="9" xr3:uid="{22543BE7-6667-4214-8A45-527B9B86E1BF}" name="Valid"/>
    <tableColumn id="2" xr3:uid="{BC2BAF0D-4D81-4AD6-AB6E-922EA52EFB1B}" name="Article Title"/>
    <tableColumn id="10" xr3:uid="{055C5856-3327-41D3-A969-73E9ACFE5409}" name="Title Filter"/>
    <tableColumn id="3" xr3:uid="{DFE7A3EE-BC6A-4213-8A91-C4831337E851}" name="Authors"/>
    <tableColumn id="4" xr3:uid="{BAACA813-12D8-4BB6-8FCE-54277D6C81DA}" name="Author Keywords"/>
    <tableColumn id="5" xr3:uid="{D65114C0-EA64-46E3-8509-579F0DBBBB00}" name="Abstract"/>
    <tableColumn id="11" xr3:uid="{211B6CFD-B5DC-4F7D-9EF9-3082A2E5FDC9}" name="Abstract Filter"/>
    <tableColumn id="12" xr3:uid="{0FDB862B-C05B-402D-893F-397913A347DF}" name="Full-Text Filter"/>
    <tableColumn id="13" xr3:uid="{CE06FB86-628A-4F92-9B3C-9B6B16D73300}" name="Full-Text explanation"/>
    <tableColumn id="6" xr3:uid="{8DEE34F6-0D2D-45FE-989E-5D4367081E28}" name="Publication Year"/>
    <tableColumn id="7" xr3:uid="{275E3189-91AE-4A01-84CC-5078479B9824}" name="Citation Count"/>
    <tableColumn id="8" xr3:uid="{6EF8BF0D-DF62-4471-B97A-843331378FF6}" name="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DC2F2-62E4-4ABD-AFB3-741CBC2E9BD5}" name="Table1" displayName="Table1" ref="A1:H2" totalsRowShown="0" headerRowDxfId="48" dataDxfId="46" headerRowBorderDxfId="47" tableBorderDxfId="45">
  <autoFilter ref="A1:H2" xr:uid="{7DEDC2F2-62E4-4ABD-AFB3-741CBC2E9BD5}"/>
  <tableColumns count="8">
    <tableColumn id="1" xr3:uid="{B685F70D-87DE-45F4-9C08-A2F0078841BF}" name="ID" dataDxfId="44"/>
    <tableColumn id="2" xr3:uid="{86D990F1-B44A-469C-AEC7-1A2B2E12242D}" name="Article Title"/>
    <tableColumn id="3" xr3:uid="{FAD2E85F-64A1-4CAB-AAC8-39165815C677}" name="Authors"/>
    <tableColumn id="4" xr3:uid="{DC7E056F-FAC5-4C40-95A8-F84B1C0D1B39}" name="Author Keywords" dataDxfId="43"/>
    <tableColumn id="5" xr3:uid="{26A69F74-9164-4083-90AC-4C6416A0B888}" name="Abstract"/>
    <tableColumn id="6" xr3:uid="{00BEC880-98B2-415C-B64F-141707CB65B2}" name="Publication Year" dataDxfId="42"/>
    <tableColumn id="7" xr3:uid="{2C72316A-7739-4AAF-8718-58CCB67BDCD6}" name="Citation Count" dataDxfId="41"/>
    <tableColumn id="8" xr3:uid="{4B0FE100-4543-43EA-8D58-CE8F7077B96E}" name="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93537E-ABC5-4CC5-815F-B92C0B39DA46}" name="Table3" displayName="Table3" ref="A1:H2" totalsRowShown="0" headerRowDxfId="40" dataDxfId="38" headerRowBorderDxfId="39" tableBorderDxfId="37">
  <autoFilter ref="A1:H2" xr:uid="{F893537E-ABC5-4CC5-815F-B92C0B39DA46}"/>
  <tableColumns count="8">
    <tableColumn id="1" xr3:uid="{3B0A9C71-7150-41D9-9D4D-D920B210F37F}" name="ID" dataDxfId="36"/>
    <tableColumn id="2" xr3:uid="{B204A226-DA95-479E-8894-2B40F063B2D4}" name="Article Title" dataDxfId="35"/>
    <tableColumn id="3" xr3:uid="{AA278FF7-06C8-4CC7-85DC-9D4A6BFE4195}" name="Authors" dataDxfId="34"/>
    <tableColumn id="4" xr3:uid="{3487A847-D74B-462F-BE54-7D05D766C0A2}" name="Author Keywords" dataDxfId="33"/>
    <tableColumn id="5" xr3:uid="{7BC1545E-8909-47C9-82CB-CAC6F74CBCAF}" name="Abstract" dataDxfId="32"/>
    <tableColumn id="6" xr3:uid="{EBCB4711-3AED-4750-AB51-BBF609EBC728}" name="Publication Year" dataDxfId="31"/>
    <tableColumn id="7" xr3:uid="{C913061B-37CA-4CB1-B40A-6EFF98CE4F29}" name="Citation Count" dataDxfId="30"/>
    <tableColumn id="8" xr3:uid="{66129A74-84F6-4217-94A8-4982B24F2E39}" name="Link" dataDxfId="2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43EBEA-0A96-4B4B-8EA7-1D63BA35D4AC}" name="Table4" displayName="Table4" ref="A1:H73" totalsRowShown="0" headerRowDxfId="28" dataDxfId="26" headerRowBorderDxfId="27" tableBorderDxfId="25">
  <autoFilter ref="A1:H73" xr:uid="{2F43EBEA-0A96-4B4B-8EA7-1D63BA35D4AC}"/>
  <tableColumns count="8">
    <tableColumn id="1" xr3:uid="{BF51D82B-82BE-4760-8064-5B9F44E5F8F1}" name="ID" dataDxfId="24"/>
    <tableColumn id="2" xr3:uid="{8C19B9B2-D442-446C-8EB7-43580031E5AE}" name="Article Title" dataDxfId="23"/>
    <tableColumn id="3" xr3:uid="{8B359F16-1F91-47E8-922D-F102D30ED0D9}" name="Authors" dataDxfId="22"/>
    <tableColumn id="4" xr3:uid="{6D7D53B4-1800-4B51-B832-0D1DC9CBB63D}" name="Author Keywords" dataDxfId="21"/>
    <tableColumn id="5" xr3:uid="{1B99F21B-95F7-4442-89C4-279B7851B0A5}" name="Abstract" dataDxfId="20"/>
    <tableColumn id="6" xr3:uid="{A32BD59F-C53C-4A30-AF31-F191F8D2AAD0}" name="Publication Year" dataDxfId="19"/>
    <tableColumn id="7" xr3:uid="{706F987D-1592-48D7-A343-8AEE23A1F785}" name="Citation Count" dataDxfId="18"/>
    <tableColumn id="8" xr3:uid="{776BA48E-8EF2-4881-AD57-CB6DEC553DFF}" name="Link"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FB1DBF-B30D-49CF-B1FB-865B448F4CCE}" name="Table2" displayName="Table2" ref="A1:H52" totalsRowShown="0">
  <autoFilter ref="A1:H52" xr:uid="{2BFB1DBF-B30D-49CF-B1FB-865B448F4CCE}"/>
  <tableColumns count="8">
    <tableColumn id="8" xr3:uid="{7A01EE2E-34FB-4CD7-9246-63924D0F23D6}" name="ID" dataDxfId="16"/>
    <tableColumn id="2" xr3:uid="{7A926418-BAE6-4349-8C9D-0E1E2265271D}" name="Article Title"/>
    <tableColumn id="1" xr3:uid="{2AC6765E-2C94-4C65-AFB2-38982C216F4B}" name="Authors"/>
    <tableColumn id="3" xr3:uid="{8FD555E2-76FB-4812-BD25-E29848CF09F4}" name="Author Keywords"/>
    <tableColumn id="4" xr3:uid="{776D3069-6CD0-4EE1-89A1-F1B0FAB4B136}" name="Abstract"/>
    <tableColumn id="5" xr3:uid="{3EE2B1EA-9D0B-4366-8EF7-625D2B6B104E}" name="Publication Year" dataDxfId="15"/>
    <tableColumn id="7" xr3:uid="{B3005F76-3B98-4732-B117-E4E126B4F0DE}" name="Citation Count" dataDxfId="14"/>
    <tableColumn id="6" xr3:uid="{C74CF8FB-639F-44EE-A2AC-63ED65727894}" name="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7CBA2A-C45D-49F2-BE00-730DB9DDC5B6}" name="Table5" displayName="Table5" ref="A1:H29" totalsRowShown="0" headerRowDxfId="13" dataDxfId="11" headerRowBorderDxfId="12" tableBorderDxfId="10">
  <autoFilter ref="A1:H29" xr:uid="{F47CBA2A-C45D-49F2-BE00-730DB9DDC5B6}"/>
  <tableColumns count="8">
    <tableColumn id="1" xr3:uid="{F44C4D85-9ADD-42C5-96F4-459DB1ADEBF4}" name="ID" dataDxfId="9"/>
    <tableColumn id="2" xr3:uid="{0E29701B-13A2-4191-A912-BC42FB142E47}" name="Article Title" dataDxfId="8"/>
    <tableColumn id="3" xr3:uid="{900D1CF1-8E3A-4F56-ACC6-ADB7D77D9253}" name="Authors" dataDxfId="7"/>
    <tableColumn id="4" xr3:uid="{622F35B3-05D8-4F08-965A-0B824A6503C2}" name="Author Keywords" dataDxfId="6"/>
    <tableColumn id="5" xr3:uid="{B86CF929-5DFB-40C1-857D-4B3336AEB178}" name="Abstract" dataDxfId="5"/>
    <tableColumn id="6" xr3:uid="{89F350B9-86B5-4E39-986F-5B7B93D893ED}" name="Publication Year" dataDxfId="4"/>
    <tableColumn id="7" xr3:uid="{B3F90F16-04A2-4421-B035-A1AB4E7B2A30}" name="Citation Count" dataDxfId="3"/>
    <tableColumn id="8" xr3:uid="{4699C56D-923B-4BDB-9E0E-F8AC87C8A0F4}" name="Link" dataDxfId="2"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ieeexplore.ieee.org/abstract/document/10223392?casa_token=SpgSUY7vbkkAAAAA:SF7mPIdAJndGm3N9-ZB38Jerv36kS8SksCbkEWiETAOBH2mrQz3C8yPq0dkQ4hzpqUu-JZb_u0jwaHw" TargetMode="External"/><Relationship Id="rId2" Type="http://schemas.openxmlformats.org/officeDocument/2006/relationships/hyperlink" Target="https://dl.acm.org/doi/10.1145/3626232.3653255" TargetMode="External"/><Relationship Id="rId1" Type="http://schemas.openxmlformats.org/officeDocument/2006/relationships/hyperlink" Target="http://link.springer.com/10.1007/978-3-030-01418-6_41" TargetMode="External"/><Relationship Id="rId5" Type="http://schemas.openxmlformats.org/officeDocument/2006/relationships/table" Target="../tables/table1.xml"/><Relationship Id="rId4" Type="http://schemas.openxmlformats.org/officeDocument/2006/relationships/hyperlink" Target="https://ieeexplore.ieee.org/abstract/document/9945231?casa_token=Y2Lje2B2gMQAAAAA:35hhfDPyYPFZCZq4NyvkRvHljjhMbgtT5PwFoE7f8e4905-0_K2ewql4FNL1qgtF0iNQAeoAJ515PrQ"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hyperlink" Target="https://ieeexplore.ieee.org/abstract/document/10223392?casa_token=SpgSUY7vbkkAAAAA:SF7mPIdAJndGm3N9-ZB38Jerv36kS8SksCbkEWiETAOBH2mrQz3C8yPq0dkQ4hzpqUu-JZb_u0jwaHw" TargetMode="External"/><Relationship Id="rId2" Type="http://schemas.openxmlformats.org/officeDocument/2006/relationships/hyperlink" Target="https://dl.acm.org/doi/10.1145/3626232.3653255" TargetMode="External"/><Relationship Id="rId1" Type="http://schemas.openxmlformats.org/officeDocument/2006/relationships/hyperlink" Target="http://link.springer.com/10.1007/978-3-030-01418-6_41" TargetMode="External"/><Relationship Id="rId5" Type="http://schemas.openxmlformats.org/officeDocument/2006/relationships/table" Target="../tables/table6.xml"/><Relationship Id="rId4" Type="http://schemas.openxmlformats.org/officeDocument/2006/relationships/hyperlink" Target="https://ieeexplore.ieee.org/abstract/document/9945231?casa_token=Y2Lje2B2gMQAAAAA:35hhfDPyYPFZCZq4NyvkRvHljjhMbgtT5PwFoE7f8e4905-0_K2ewql4FNL1qgtF0iNQAeoAJ515Pr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5381-85B6-7C40-A20E-33C2308243DD}">
  <sheetPr>
    <outlinePr summaryRight="0"/>
  </sheetPr>
  <dimension ref="A1:AF12"/>
  <sheetViews>
    <sheetView tabSelected="1" workbookViewId="0">
      <pane xSplit="1" topLeftCell="B1" activePane="topRight" state="frozen"/>
      <selection pane="topRight" sqref="A1:AF8"/>
    </sheetView>
  </sheetViews>
  <sheetFormatPr baseColWidth="10" defaultColWidth="8.83203125" defaultRowHeight="15" x14ac:dyDescent="0.2"/>
  <cols>
    <col min="1" max="1" width="39.33203125" customWidth="1"/>
    <col min="2" max="31" width="6.1640625" customWidth="1"/>
    <col min="32" max="32" width="15" style="7" customWidth="1"/>
  </cols>
  <sheetData>
    <row r="1" spans="1:32" ht="102.5" customHeight="1" x14ac:dyDescent="0.2">
      <c r="A1" s="23" t="s">
        <v>37</v>
      </c>
      <c r="B1" s="33" t="s">
        <v>835</v>
      </c>
      <c r="C1" s="33" t="s">
        <v>841</v>
      </c>
      <c r="D1" s="33" t="s">
        <v>847</v>
      </c>
      <c r="E1" s="33" t="s">
        <v>851</v>
      </c>
      <c r="F1" s="33" t="s">
        <v>852</v>
      </c>
      <c r="G1" s="33" t="s">
        <v>853</v>
      </c>
      <c r="H1" s="33" t="s">
        <v>858</v>
      </c>
      <c r="I1" s="33" t="s">
        <v>860</v>
      </c>
      <c r="J1" s="33" t="s">
        <v>864</v>
      </c>
      <c r="K1" s="33" t="s">
        <v>870</v>
      </c>
      <c r="L1" s="33" t="s">
        <v>872</v>
      </c>
      <c r="M1" s="33" t="s">
        <v>876</v>
      </c>
      <c r="N1" s="33" t="s">
        <v>883</v>
      </c>
      <c r="O1" s="33" t="s">
        <v>886</v>
      </c>
      <c r="P1" s="33" t="s">
        <v>890</v>
      </c>
      <c r="Q1" s="33" t="s">
        <v>894</v>
      </c>
      <c r="R1" s="33" t="s">
        <v>40</v>
      </c>
      <c r="S1" s="33" t="s">
        <v>41</v>
      </c>
      <c r="T1" s="33" t="s">
        <v>42</v>
      </c>
      <c r="U1" s="33" t="s">
        <v>43</v>
      </c>
      <c r="V1" s="33" t="s">
        <v>44</v>
      </c>
      <c r="W1" s="34" t="s">
        <v>45</v>
      </c>
      <c r="X1" s="34" t="s">
        <v>46</v>
      </c>
      <c r="Y1" s="34" t="s">
        <v>47</v>
      </c>
      <c r="Z1" s="34" t="s">
        <v>48</v>
      </c>
      <c r="AA1" s="34" t="s">
        <v>49</v>
      </c>
      <c r="AB1" s="34" t="s">
        <v>50</v>
      </c>
      <c r="AC1" s="34" t="s">
        <v>51</v>
      </c>
      <c r="AD1" s="34" t="s">
        <v>52</v>
      </c>
      <c r="AE1" s="34" t="s">
        <v>53</v>
      </c>
      <c r="AF1" s="24" t="s">
        <v>54</v>
      </c>
    </row>
    <row r="2" spans="1:32" ht="13.75" customHeight="1" x14ac:dyDescent="0.2">
      <c r="A2" s="23" t="s">
        <v>55</v>
      </c>
      <c r="B2" s="7" t="s">
        <v>64</v>
      </c>
      <c r="C2" s="15"/>
      <c r="D2" s="15"/>
      <c r="E2" s="7" t="s">
        <v>64</v>
      </c>
      <c r="F2" s="15"/>
      <c r="G2" s="15"/>
      <c r="H2" s="15"/>
      <c r="I2" s="15"/>
      <c r="J2" s="15"/>
      <c r="K2" s="15"/>
      <c r="L2" s="15"/>
      <c r="M2" s="15"/>
      <c r="N2" s="15"/>
      <c r="O2" s="15"/>
      <c r="P2" s="15"/>
      <c r="Q2" s="15"/>
      <c r="R2" s="40" t="s">
        <v>64</v>
      </c>
      <c r="S2" s="15"/>
      <c r="T2" s="15"/>
      <c r="U2" s="15"/>
      <c r="V2" s="15"/>
      <c r="W2" s="7"/>
      <c r="X2" s="7"/>
      <c r="Y2" s="7" t="s">
        <v>64</v>
      </c>
      <c r="Z2" s="7"/>
      <c r="AA2" s="7"/>
      <c r="AB2" s="7"/>
      <c r="AC2" s="7"/>
      <c r="AD2" s="7"/>
      <c r="AE2" s="7"/>
      <c r="AF2" s="24">
        <f>COUNTIF(B2:AE2, "*x*")</f>
        <v>4</v>
      </c>
    </row>
    <row r="3" spans="1:32" ht="14.5" customHeight="1" x14ac:dyDescent="0.2">
      <c r="A3" s="36" t="s">
        <v>61</v>
      </c>
      <c r="B3" s="7" t="s">
        <v>64</v>
      </c>
      <c r="C3" s="7" t="s">
        <v>64</v>
      </c>
      <c r="D3" s="25"/>
      <c r="E3" s="7" t="s">
        <v>64</v>
      </c>
      <c r="F3" s="40" t="s">
        <v>64</v>
      </c>
      <c r="G3" s="40" t="s">
        <v>64</v>
      </c>
      <c r="H3" s="40" t="s">
        <v>64</v>
      </c>
      <c r="I3" s="15"/>
      <c r="J3" s="35" t="s">
        <v>863</v>
      </c>
      <c r="K3" s="40" t="s">
        <v>64</v>
      </c>
      <c r="L3" s="40" t="s">
        <v>64</v>
      </c>
      <c r="M3" s="40" t="s">
        <v>64</v>
      </c>
      <c r="N3" s="40" t="s">
        <v>64</v>
      </c>
      <c r="O3" s="40" t="s">
        <v>64</v>
      </c>
      <c r="P3" s="40" t="s">
        <v>64</v>
      </c>
      <c r="Q3" s="15"/>
      <c r="R3" s="40" t="s">
        <v>64</v>
      </c>
      <c r="S3" s="40" t="s">
        <v>64</v>
      </c>
      <c r="T3" s="40" t="s">
        <v>64</v>
      </c>
      <c r="U3" s="40" t="s">
        <v>64</v>
      </c>
      <c r="V3" s="40" t="s">
        <v>64</v>
      </c>
      <c r="W3" s="40" t="s">
        <v>64</v>
      </c>
      <c r="X3" s="40" t="s">
        <v>64</v>
      </c>
      <c r="Y3" s="7" t="s">
        <v>64</v>
      </c>
      <c r="Z3" s="40" t="s">
        <v>64</v>
      </c>
      <c r="AA3" s="40" t="s">
        <v>64</v>
      </c>
      <c r="AB3" s="40" t="s">
        <v>64</v>
      </c>
      <c r="AC3" s="40" t="s">
        <v>64</v>
      </c>
      <c r="AD3" s="40" t="s">
        <v>64</v>
      </c>
      <c r="AE3" s="40" t="s">
        <v>64</v>
      </c>
      <c r="AF3" s="24">
        <f>COUNTIF(B3:AE3, "*x*")</f>
        <v>27</v>
      </c>
    </row>
    <row r="4" spans="1:32" ht="15" customHeight="1" x14ac:dyDescent="0.2">
      <c r="A4" s="27" t="s">
        <v>76</v>
      </c>
      <c r="B4" s="7" t="s">
        <v>64</v>
      </c>
      <c r="C4" s="28"/>
      <c r="D4" s="35"/>
      <c r="E4" s="28"/>
      <c r="F4" s="28"/>
      <c r="G4" s="28"/>
      <c r="H4" s="28"/>
      <c r="I4" s="28"/>
      <c r="J4" s="7"/>
      <c r="K4" s="40" t="s">
        <v>64</v>
      </c>
      <c r="L4" s="28"/>
      <c r="M4" s="28"/>
      <c r="N4" s="28"/>
      <c r="O4" s="28"/>
      <c r="P4" s="28"/>
      <c r="Q4" s="28"/>
      <c r="R4" s="40" t="s">
        <v>64</v>
      </c>
      <c r="S4" s="15"/>
      <c r="T4" s="15"/>
      <c r="U4" s="40" t="s">
        <v>64</v>
      </c>
      <c r="V4" s="40" t="s">
        <v>64</v>
      </c>
      <c r="W4" s="40" t="s">
        <v>64</v>
      </c>
      <c r="X4" s="25"/>
      <c r="Y4" s="7"/>
      <c r="Z4" s="40" t="s">
        <v>64</v>
      </c>
      <c r="AA4" s="7"/>
      <c r="AB4" s="7"/>
      <c r="AC4" s="7"/>
      <c r="AD4" s="40" t="s">
        <v>64</v>
      </c>
      <c r="AE4" s="40" t="s">
        <v>64</v>
      </c>
      <c r="AF4" s="24">
        <f>COUNTIF(B4:AE4, "*x*")</f>
        <v>9</v>
      </c>
    </row>
    <row r="5" spans="1:32" ht="15.5" customHeight="1" x14ac:dyDescent="0.2">
      <c r="A5" s="27" t="s">
        <v>84</v>
      </c>
      <c r="B5" s="7" t="s">
        <v>64</v>
      </c>
      <c r="C5" s="7" t="s">
        <v>64</v>
      </c>
      <c r="D5" s="7"/>
      <c r="E5" s="7" t="s">
        <v>64</v>
      </c>
      <c r="F5" s="7"/>
      <c r="G5" s="40" t="s">
        <v>64</v>
      </c>
      <c r="H5" s="7"/>
      <c r="I5" s="7"/>
      <c r="J5" s="40" t="s">
        <v>64</v>
      </c>
      <c r="K5" s="40" t="s">
        <v>64</v>
      </c>
      <c r="L5" s="40" t="s">
        <v>64</v>
      </c>
      <c r="M5" s="7"/>
      <c r="N5" s="7"/>
      <c r="O5" s="40" t="s">
        <v>64</v>
      </c>
      <c r="P5" s="7"/>
      <c r="Q5" s="40" t="s">
        <v>64</v>
      </c>
      <c r="R5" s="40" t="s">
        <v>64</v>
      </c>
      <c r="S5" s="40" t="s">
        <v>64</v>
      </c>
      <c r="T5" s="40" t="s">
        <v>64</v>
      </c>
      <c r="U5" s="40" t="s">
        <v>64</v>
      </c>
      <c r="V5" s="15"/>
      <c r="W5" s="7"/>
      <c r="X5" s="40" t="s">
        <v>64</v>
      </c>
      <c r="Y5" s="7"/>
      <c r="Z5" s="7"/>
      <c r="AA5" s="40" t="s">
        <v>64</v>
      </c>
      <c r="AB5" s="7"/>
      <c r="AC5" s="40" t="s">
        <v>64</v>
      </c>
      <c r="AD5" s="7"/>
      <c r="AE5" s="7"/>
      <c r="AF5" s="24">
        <f>COUNTIF(B5:AE5, "*x*")</f>
        <v>16</v>
      </c>
    </row>
    <row r="6" spans="1:32" ht="13.25" customHeight="1" x14ac:dyDescent="0.2">
      <c r="A6" s="27" t="s">
        <v>87</v>
      </c>
      <c r="B6" s="7" t="s">
        <v>64</v>
      </c>
      <c r="C6" s="7" t="s">
        <v>64</v>
      </c>
      <c r="D6" s="7" t="s">
        <v>64</v>
      </c>
      <c r="E6" s="7" t="s">
        <v>64</v>
      </c>
      <c r="F6" s="7"/>
      <c r="G6" s="40" t="s">
        <v>64</v>
      </c>
      <c r="H6" s="40" t="s">
        <v>64</v>
      </c>
      <c r="I6" s="40" t="s">
        <v>64</v>
      </c>
      <c r="J6" s="40" t="s">
        <v>64</v>
      </c>
      <c r="K6" s="40" t="s">
        <v>64</v>
      </c>
      <c r="L6" s="40" t="s">
        <v>64</v>
      </c>
      <c r="M6" s="40" t="s">
        <v>64</v>
      </c>
      <c r="N6" s="40" t="s">
        <v>64</v>
      </c>
      <c r="O6" s="40" t="s">
        <v>64</v>
      </c>
      <c r="P6" s="40" t="s">
        <v>64</v>
      </c>
      <c r="Q6" s="40" t="s">
        <v>64</v>
      </c>
      <c r="R6" s="40" t="s">
        <v>64</v>
      </c>
      <c r="S6" s="40" t="s">
        <v>64</v>
      </c>
      <c r="T6" s="40" t="s">
        <v>64</v>
      </c>
      <c r="U6" s="40" t="s">
        <v>64</v>
      </c>
      <c r="V6" s="40" t="s">
        <v>64</v>
      </c>
      <c r="W6" s="7"/>
      <c r="X6" s="40" t="s">
        <v>64</v>
      </c>
      <c r="Y6" s="40" t="s">
        <v>64</v>
      </c>
      <c r="Z6" s="40" t="s">
        <v>64</v>
      </c>
      <c r="AA6" s="40" t="s">
        <v>64</v>
      </c>
      <c r="AB6" s="40" t="s">
        <v>64</v>
      </c>
      <c r="AC6" s="40" t="s">
        <v>64</v>
      </c>
      <c r="AD6" s="40" t="s">
        <v>64</v>
      </c>
      <c r="AE6" s="7"/>
      <c r="AF6" s="24">
        <f>COUNTIF(B6:AE6, "*x*")</f>
        <v>27</v>
      </c>
    </row>
    <row r="7" spans="1:32" ht="13.75" customHeight="1" x14ac:dyDescent="0.2">
      <c r="A7" s="27" t="s">
        <v>92</v>
      </c>
      <c r="B7" s="7"/>
      <c r="C7" s="7"/>
      <c r="D7" s="7" t="s">
        <v>64</v>
      </c>
      <c r="E7" s="7" t="s">
        <v>64</v>
      </c>
      <c r="F7" s="7"/>
      <c r="G7" s="7"/>
      <c r="H7" s="7"/>
      <c r="I7" s="40" t="s">
        <v>64</v>
      </c>
      <c r="J7" s="7"/>
      <c r="K7" s="7"/>
      <c r="L7" s="7"/>
      <c r="M7" s="7"/>
      <c r="N7" s="40" t="s">
        <v>64</v>
      </c>
      <c r="O7" s="7"/>
      <c r="P7" s="40" t="s">
        <v>64</v>
      </c>
      <c r="Q7" s="7"/>
      <c r="R7" s="15"/>
      <c r="S7" s="15"/>
      <c r="T7" s="40" t="s">
        <v>64</v>
      </c>
      <c r="U7" s="15"/>
      <c r="V7" s="15"/>
      <c r="W7" s="7"/>
      <c r="X7" s="7"/>
      <c r="Y7" s="7"/>
      <c r="Z7" s="7"/>
      <c r="AA7" s="7"/>
      <c r="AB7" s="7"/>
      <c r="AC7" s="40" t="s">
        <v>64</v>
      </c>
      <c r="AD7" s="7"/>
      <c r="AE7" s="7"/>
      <c r="AF7" s="24">
        <f>COUNTIF(B7:AE7, "*x*")</f>
        <v>7</v>
      </c>
    </row>
    <row r="8" spans="1:32" ht="13.25" customHeight="1" x14ac:dyDescent="0.2">
      <c r="A8" s="23" t="s">
        <v>95</v>
      </c>
      <c r="B8" s="15"/>
      <c r="C8" s="15"/>
      <c r="D8" s="15"/>
      <c r="E8" s="15"/>
      <c r="F8" s="15"/>
      <c r="G8" s="15"/>
      <c r="H8" s="15"/>
      <c r="I8" s="15"/>
      <c r="J8" s="15"/>
      <c r="K8" s="15"/>
      <c r="L8" s="15"/>
      <c r="M8" s="15"/>
      <c r="N8" s="40" t="s">
        <v>64</v>
      </c>
      <c r="O8" s="15"/>
      <c r="P8" s="15"/>
      <c r="Q8" s="15"/>
      <c r="R8" s="7"/>
      <c r="S8" s="7"/>
      <c r="T8" s="7"/>
      <c r="U8" s="7"/>
      <c r="V8" s="40" t="s">
        <v>64</v>
      </c>
      <c r="W8" s="40" t="s">
        <v>64</v>
      </c>
      <c r="X8" s="7"/>
      <c r="Y8" s="40" t="s">
        <v>64</v>
      </c>
      <c r="Z8" s="7"/>
      <c r="AA8" s="7"/>
      <c r="AB8" s="7"/>
      <c r="AC8" s="7"/>
      <c r="AD8" s="7"/>
      <c r="AE8" s="7"/>
      <c r="AF8" s="24">
        <f>COUNTIF(B8:AE8, "*x*")</f>
        <v>4</v>
      </c>
    </row>
    <row r="9" spans="1:32" x14ac:dyDescent="0.2">
      <c r="A9" s="27"/>
      <c r="B9" s="8"/>
      <c r="C9" s="8"/>
      <c r="D9" s="8"/>
      <c r="E9" s="8"/>
      <c r="F9" s="8"/>
      <c r="G9" s="8"/>
      <c r="H9" s="8"/>
      <c r="I9" s="8"/>
      <c r="J9" s="8"/>
      <c r="K9" s="8"/>
      <c r="L9" s="8"/>
      <c r="M9" s="8"/>
      <c r="N9" s="8"/>
      <c r="O9" s="8"/>
      <c r="P9" s="8"/>
      <c r="Q9" s="8"/>
      <c r="R9" s="7"/>
      <c r="S9" s="7"/>
      <c r="T9" s="7"/>
      <c r="U9" s="7"/>
      <c r="V9" s="7"/>
      <c r="AF9" s="30"/>
    </row>
    <row r="12" spans="1:32" x14ac:dyDescent="0.2">
      <c r="G12"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3FB9B-AED9-334A-B1B8-AEFC10DB5FD3}">
  <sheetPr>
    <outlinePr summaryRight="0"/>
  </sheetPr>
  <dimension ref="A1:AH12"/>
  <sheetViews>
    <sheetView workbookViewId="0">
      <pane xSplit="1" topLeftCell="B1" activePane="topRight" state="frozen"/>
      <selection pane="topRight" sqref="A1:AH11"/>
    </sheetView>
  </sheetViews>
  <sheetFormatPr baseColWidth="10" defaultColWidth="8.83203125" defaultRowHeight="15" outlineLevelCol="1" x14ac:dyDescent="0.2"/>
  <cols>
    <col min="1" max="1" width="39.33203125" customWidth="1"/>
    <col min="2" max="2" width="45" customWidth="1" outlineLevel="1"/>
    <col min="3" max="3" width="24.1640625" customWidth="1"/>
    <col min="4" max="33" width="6.1640625" customWidth="1"/>
    <col min="34" max="34" width="15" style="7" customWidth="1"/>
  </cols>
  <sheetData>
    <row r="1" spans="1:34" ht="102.5" customHeight="1" x14ac:dyDescent="0.2">
      <c r="A1" s="23" t="s">
        <v>37</v>
      </c>
      <c r="B1" s="23" t="s">
        <v>38</v>
      </c>
      <c r="C1" s="23" t="s">
        <v>39</v>
      </c>
      <c r="D1" s="33" t="s">
        <v>835</v>
      </c>
      <c r="E1" s="33" t="s">
        <v>841</v>
      </c>
      <c r="F1" s="33" t="s">
        <v>847</v>
      </c>
      <c r="G1" s="33" t="s">
        <v>851</v>
      </c>
      <c r="H1" s="33" t="s">
        <v>852</v>
      </c>
      <c r="I1" s="33" t="s">
        <v>853</v>
      </c>
      <c r="J1" s="33" t="s">
        <v>858</v>
      </c>
      <c r="K1" s="33" t="s">
        <v>860</v>
      </c>
      <c r="L1" s="33" t="s">
        <v>864</v>
      </c>
      <c r="M1" s="33" t="s">
        <v>870</v>
      </c>
      <c r="N1" s="33" t="s">
        <v>872</v>
      </c>
      <c r="O1" s="33" t="s">
        <v>876</v>
      </c>
      <c r="P1" s="33" t="s">
        <v>883</v>
      </c>
      <c r="Q1" s="33" t="s">
        <v>886</v>
      </c>
      <c r="R1" s="33" t="s">
        <v>890</v>
      </c>
      <c r="S1" s="33" t="s">
        <v>894</v>
      </c>
      <c r="T1" s="33" t="s">
        <v>40</v>
      </c>
      <c r="U1" s="33" t="s">
        <v>41</v>
      </c>
      <c r="V1" s="33" t="s">
        <v>42</v>
      </c>
      <c r="W1" s="33" t="s">
        <v>43</v>
      </c>
      <c r="X1" s="33" t="s">
        <v>44</v>
      </c>
      <c r="Y1" s="34" t="s">
        <v>45</v>
      </c>
      <c r="Z1" s="34" t="s">
        <v>46</v>
      </c>
      <c r="AA1" s="34" t="s">
        <v>47</v>
      </c>
      <c r="AB1" s="34" t="s">
        <v>48</v>
      </c>
      <c r="AC1" s="34" t="s">
        <v>49</v>
      </c>
      <c r="AD1" s="34" t="s">
        <v>50</v>
      </c>
      <c r="AE1" s="34" t="s">
        <v>51</v>
      </c>
      <c r="AF1" s="34" t="s">
        <v>52</v>
      </c>
      <c r="AG1" s="34" t="s">
        <v>53</v>
      </c>
      <c r="AH1" s="24" t="s">
        <v>54</v>
      </c>
    </row>
    <row r="2" spans="1:34" ht="13.75" customHeight="1" x14ac:dyDescent="0.2">
      <c r="A2" s="37" t="s">
        <v>55</v>
      </c>
      <c r="B2" s="38" t="s">
        <v>56</v>
      </c>
      <c r="C2" s="15" t="s">
        <v>57</v>
      </c>
      <c r="D2" s="25" t="s">
        <v>839</v>
      </c>
      <c r="E2" s="15"/>
      <c r="F2" s="15"/>
      <c r="G2" s="25" t="s">
        <v>848</v>
      </c>
      <c r="H2" s="15"/>
      <c r="I2" s="15"/>
      <c r="J2" s="15"/>
      <c r="K2" s="15"/>
      <c r="L2" s="15"/>
      <c r="M2" s="15"/>
      <c r="N2" s="15"/>
      <c r="O2" s="15"/>
      <c r="P2" s="15"/>
      <c r="Q2" s="15"/>
      <c r="R2" s="15"/>
      <c r="S2" s="15"/>
      <c r="T2" s="25" t="s">
        <v>58</v>
      </c>
      <c r="U2" s="15"/>
      <c r="V2" s="15"/>
      <c r="W2" s="15"/>
      <c r="X2" s="15"/>
      <c r="AH2" s="39">
        <f>COUNTIF(D2:AG3, "*x*")</f>
        <v>4</v>
      </c>
    </row>
    <row r="3" spans="1:34" ht="13.25" customHeight="1" x14ac:dyDescent="0.2">
      <c r="A3" s="37"/>
      <c r="B3" s="38"/>
      <c r="C3" s="15" t="s">
        <v>59</v>
      </c>
      <c r="D3" s="15"/>
      <c r="E3" s="15"/>
      <c r="F3" s="15"/>
      <c r="G3" s="15"/>
      <c r="H3" s="15"/>
      <c r="I3" s="15"/>
      <c r="J3" s="15"/>
      <c r="K3" s="15"/>
      <c r="L3" s="15"/>
      <c r="M3" s="15"/>
      <c r="N3" s="15"/>
      <c r="O3" s="15"/>
      <c r="P3" s="15"/>
      <c r="Q3" s="15"/>
      <c r="R3" s="15"/>
      <c r="S3" s="15"/>
      <c r="T3" s="15"/>
      <c r="U3" s="15"/>
      <c r="V3" s="15"/>
      <c r="W3" s="15"/>
      <c r="X3" s="15"/>
      <c r="AA3" s="26" t="s">
        <v>60</v>
      </c>
      <c r="AH3" s="39"/>
    </row>
    <row r="4" spans="1:34" ht="14.5" customHeight="1" x14ac:dyDescent="0.2">
      <c r="A4" s="37" t="s">
        <v>61</v>
      </c>
      <c r="B4" s="38" t="s">
        <v>62</v>
      </c>
      <c r="C4" s="15" t="s">
        <v>63</v>
      </c>
      <c r="D4" s="25" t="s">
        <v>836</v>
      </c>
      <c r="E4" s="25" t="s">
        <v>842</v>
      </c>
      <c r="F4" s="25"/>
      <c r="G4" s="25" t="s">
        <v>850</v>
      </c>
      <c r="H4" s="15" t="s">
        <v>64</v>
      </c>
      <c r="I4" s="25" t="s">
        <v>854</v>
      </c>
      <c r="J4" s="25" t="s">
        <v>855</v>
      </c>
      <c r="K4" s="15"/>
      <c r="L4" s="35" t="s">
        <v>863</v>
      </c>
      <c r="M4" s="25" t="s">
        <v>868</v>
      </c>
      <c r="N4" s="25" t="s">
        <v>871</v>
      </c>
      <c r="O4" s="15"/>
      <c r="P4" s="25" t="s">
        <v>878</v>
      </c>
      <c r="Q4" s="15"/>
      <c r="R4" s="25" t="s">
        <v>887</v>
      </c>
      <c r="S4" s="15"/>
      <c r="T4" s="15" t="s">
        <v>64</v>
      </c>
      <c r="U4" s="15"/>
      <c r="V4" s="15"/>
      <c r="W4" s="25" t="s">
        <v>65</v>
      </c>
      <c r="X4" s="25" t="s">
        <v>66</v>
      </c>
      <c r="Y4" s="26" t="s">
        <v>67</v>
      </c>
      <c r="Z4" s="26" t="s">
        <v>64</v>
      </c>
      <c r="AB4" s="15"/>
      <c r="AC4" s="7" t="s">
        <v>64</v>
      </c>
      <c r="AD4" s="15" t="s">
        <v>64</v>
      </c>
      <c r="AE4" s="25" t="s">
        <v>68</v>
      </c>
      <c r="AF4" s="25" t="s">
        <v>69</v>
      </c>
      <c r="AG4" s="15"/>
      <c r="AH4" s="39">
        <f>COUNTIF(D4:AG5, "*x*")</f>
        <v>45</v>
      </c>
    </row>
    <row r="5" spans="1:34" ht="12.5" customHeight="1" x14ac:dyDescent="0.2">
      <c r="A5" s="37"/>
      <c r="B5" s="38"/>
      <c r="C5" s="15" t="s">
        <v>70</v>
      </c>
      <c r="D5" s="25" t="s">
        <v>836</v>
      </c>
      <c r="E5" s="25" t="s">
        <v>843</v>
      </c>
      <c r="F5" s="15"/>
      <c r="G5" s="25" t="s">
        <v>850</v>
      </c>
      <c r="H5" s="15" t="s">
        <v>64</v>
      </c>
      <c r="I5" s="25" t="s">
        <v>854</v>
      </c>
      <c r="J5" s="25" t="s">
        <v>856</v>
      </c>
      <c r="K5" s="15"/>
      <c r="L5" s="35" t="s">
        <v>863</v>
      </c>
      <c r="M5" s="25" t="s">
        <v>868</v>
      </c>
      <c r="N5" s="25" t="s">
        <v>871</v>
      </c>
      <c r="O5" s="25" t="s">
        <v>874</v>
      </c>
      <c r="P5" s="25" t="s">
        <v>881</v>
      </c>
      <c r="Q5" s="25" t="s">
        <v>885</v>
      </c>
      <c r="R5" s="25" t="s">
        <v>887</v>
      </c>
      <c r="S5" s="15"/>
      <c r="T5" s="25" t="s">
        <v>71</v>
      </c>
      <c r="U5" s="15" t="s">
        <v>64</v>
      </c>
      <c r="V5" s="15" t="s">
        <v>64</v>
      </c>
      <c r="W5" s="25" t="s">
        <v>72</v>
      </c>
      <c r="X5" s="25" t="s">
        <v>73</v>
      </c>
      <c r="Z5" s="7" t="s">
        <v>64</v>
      </c>
      <c r="AA5" s="26" t="s">
        <v>74</v>
      </c>
      <c r="AB5" s="7" t="s">
        <v>64</v>
      </c>
      <c r="AC5" s="26"/>
      <c r="AD5" s="15" t="s">
        <v>64</v>
      </c>
      <c r="AE5" s="15" t="s">
        <v>64</v>
      </c>
      <c r="AF5" s="25" t="s">
        <v>75</v>
      </c>
      <c r="AG5" s="15" t="s">
        <v>64</v>
      </c>
      <c r="AH5" s="39"/>
    </row>
    <row r="6" spans="1:34" ht="15" customHeight="1" x14ac:dyDescent="0.2">
      <c r="A6" s="27" t="s">
        <v>76</v>
      </c>
      <c r="B6" s="8" t="s">
        <v>77</v>
      </c>
      <c r="C6" s="28" t="s">
        <v>78</v>
      </c>
      <c r="D6" s="25" t="s">
        <v>836</v>
      </c>
      <c r="E6" s="28"/>
      <c r="F6" s="35"/>
      <c r="G6" s="28"/>
      <c r="H6" s="28"/>
      <c r="I6" s="28"/>
      <c r="J6" s="28"/>
      <c r="K6" s="28"/>
      <c r="M6" s="35" t="s">
        <v>869</v>
      </c>
      <c r="N6" s="28"/>
      <c r="O6" s="28"/>
      <c r="P6" s="28"/>
      <c r="Q6" s="28"/>
      <c r="R6" s="28"/>
      <c r="S6" s="28"/>
      <c r="T6" s="15" t="s">
        <v>64</v>
      </c>
      <c r="U6" s="15"/>
      <c r="V6" s="15"/>
      <c r="W6" s="25" t="s">
        <v>79</v>
      </c>
      <c r="X6" s="25" t="s">
        <v>80</v>
      </c>
      <c r="Y6" s="25" t="s">
        <v>81</v>
      </c>
      <c r="Z6" s="25"/>
      <c r="AB6" s="25" t="s">
        <v>82</v>
      </c>
      <c r="AF6" s="26" t="s">
        <v>83</v>
      </c>
      <c r="AG6" s="25" t="s">
        <v>82</v>
      </c>
      <c r="AH6" s="24">
        <f>COUNTIF(D6:AG6, "*x*")</f>
        <v>9</v>
      </c>
    </row>
    <row r="7" spans="1:34" ht="15.5" customHeight="1" x14ac:dyDescent="0.2">
      <c r="A7" s="27" t="s">
        <v>84</v>
      </c>
      <c r="B7" s="8" t="s">
        <v>85</v>
      </c>
      <c r="C7" s="7" t="s">
        <v>78</v>
      </c>
      <c r="D7" s="26" t="s">
        <v>837</v>
      </c>
      <c r="E7" s="26" t="s">
        <v>837</v>
      </c>
      <c r="F7" s="7"/>
      <c r="G7" s="26" t="s">
        <v>837</v>
      </c>
      <c r="H7" s="7"/>
      <c r="I7" s="26" t="s">
        <v>837</v>
      </c>
      <c r="J7" s="7"/>
      <c r="K7" s="7"/>
      <c r="L7" s="26" t="s">
        <v>862</v>
      </c>
      <c r="M7" s="26" t="s">
        <v>867</v>
      </c>
      <c r="N7" s="26" t="s">
        <v>837</v>
      </c>
      <c r="O7" s="7"/>
      <c r="P7" s="7"/>
      <c r="Q7" s="26" t="s">
        <v>862</v>
      </c>
      <c r="R7" s="7"/>
      <c r="S7" s="26" t="s">
        <v>893</v>
      </c>
      <c r="T7" s="15" t="s">
        <v>64</v>
      </c>
      <c r="U7" s="15" t="s">
        <v>64</v>
      </c>
      <c r="V7" s="15" t="s">
        <v>64</v>
      </c>
      <c r="W7" s="15" t="s">
        <v>64</v>
      </c>
      <c r="X7" s="15"/>
      <c r="Z7" s="15" t="s">
        <v>64</v>
      </c>
      <c r="AC7" s="29" t="s">
        <v>86</v>
      </c>
      <c r="AE7" s="7" t="s">
        <v>64</v>
      </c>
      <c r="AH7" s="24">
        <f>COUNTIF(D7:AG7, "*x*")</f>
        <v>16</v>
      </c>
    </row>
    <row r="8" spans="1:34" ht="13.25" customHeight="1" x14ac:dyDescent="0.2">
      <c r="A8" s="27" t="s">
        <v>87</v>
      </c>
      <c r="B8" s="8" t="s">
        <v>88</v>
      </c>
      <c r="C8" s="7" t="s">
        <v>78</v>
      </c>
      <c r="D8" s="26" t="s">
        <v>838</v>
      </c>
      <c r="E8" s="26" t="s">
        <v>844</v>
      </c>
      <c r="F8" s="26" t="s">
        <v>844</v>
      </c>
      <c r="G8" s="26" t="s">
        <v>849</v>
      </c>
      <c r="H8" s="7"/>
      <c r="I8" s="26" t="s">
        <v>844</v>
      </c>
      <c r="J8" s="26" t="s">
        <v>857</v>
      </c>
      <c r="K8" s="26" t="s">
        <v>844</v>
      </c>
      <c r="L8" s="26" t="s">
        <v>861</v>
      </c>
      <c r="M8" s="26" t="s">
        <v>866</v>
      </c>
      <c r="N8" s="26" t="s">
        <v>844</v>
      </c>
      <c r="O8" s="26" t="s">
        <v>875</v>
      </c>
      <c r="P8" s="26" t="s">
        <v>877</v>
      </c>
      <c r="Q8" s="26" t="s">
        <v>884</v>
      </c>
      <c r="R8" s="26" t="s">
        <v>888</v>
      </c>
      <c r="S8" s="26" t="s">
        <v>892</v>
      </c>
      <c r="T8" s="15" t="s">
        <v>64</v>
      </c>
      <c r="U8" s="15" t="s">
        <v>64</v>
      </c>
      <c r="V8" s="15" t="s">
        <v>64</v>
      </c>
      <c r="W8" s="15" t="s">
        <v>64</v>
      </c>
      <c r="X8" s="25" t="s">
        <v>89</v>
      </c>
      <c r="Z8" s="15" t="s">
        <v>64</v>
      </c>
      <c r="AA8" s="15" t="s">
        <v>64</v>
      </c>
      <c r="AB8" s="25" t="s">
        <v>90</v>
      </c>
      <c r="AC8" s="15" t="s">
        <v>64</v>
      </c>
      <c r="AD8" s="15" t="s">
        <v>64</v>
      </c>
      <c r="AE8" s="25" t="s">
        <v>91</v>
      </c>
      <c r="AF8" s="15" t="s">
        <v>64</v>
      </c>
      <c r="AH8" s="24">
        <f>COUNTIF(D8:AG8, "*x*")</f>
        <v>27</v>
      </c>
    </row>
    <row r="9" spans="1:34" ht="13.75" customHeight="1" x14ac:dyDescent="0.2">
      <c r="A9" s="27" t="s">
        <v>92</v>
      </c>
      <c r="B9" s="8" t="s">
        <v>93</v>
      </c>
      <c r="C9" s="7" t="s">
        <v>78</v>
      </c>
      <c r="D9" s="7"/>
      <c r="F9" s="26" t="s">
        <v>846</v>
      </c>
      <c r="G9" s="26" t="s">
        <v>846</v>
      </c>
      <c r="H9" s="7"/>
      <c r="I9" s="7"/>
      <c r="J9" s="7"/>
      <c r="K9" s="26" t="s">
        <v>859</v>
      </c>
      <c r="L9" s="7"/>
      <c r="M9" s="7"/>
      <c r="N9" s="7"/>
      <c r="O9" s="7"/>
      <c r="P9" s="26" t="s">
        <v>879</v>
      </c>
      <c r="Q9" s="7"/>
      <c r="R9" s="26" t="s">
        <v>889</v>
      </c>
      <c r="S9" s="7"/>
      <c r="T9" s="15"/>
      <c r="U9" s="15"/>
      <c r="V9" s="15" t="s">
        <v>64</v>
      </c>
      <c r="W9" s="15"/>
      <c r="X9" s="15"/>
      <c r="AE9" s="26" t="s">
        <v>94</v>
      </c>
      <c r="AH9" s="24">
        <f>COUNTIF(D9:AG9, "*x*")</f>
        <v>7</v>
      </c>
    </row>
    <row r="10" spans="1:34" ht="13.25" customHeight="1" x14ac:dyDescent="0.2">
      <c r="A10" s="37" t="s">
        <v>95</v>
      </c>
      <c r="B10" s="38" t="s">
        <v>96</v>
      </c>
      <c r="C10" s="15" t="s">
        <v>97</v>
      </c>
      <c r="D10" s="15"/>
      <c r="E10" s="15"/>
      <c r="F10" s="15"/>
      <c r="G10" s="15"/>
      <c r="H10" s="15"/>
      <c r="I10" s="15"/>
      <c r="J10" s="15"/>
      <c r="K10" s="15"/>
      <c r="L10" s="15"/>
      <c r="M10" s="15"/>
      <c r="N10" s="15"/>
      <c r="O10" s="15"/>
      <c r="P10" s="25" t="s">
        <v>880</v>
      </c>
      <c r="Q10" s="15"/>
      <c r="R10" s="15"/>
      <c r="S10" s="15"/>
      <c r="T10" s="7"/>
      <c r="U10" s="7"/>
      <c r="V10" s="7"/>
      <c r="W10" s="7"/>
      <c r="X10" s="26" t="s">
        <v>98</v>
      </c>
      <c r="Y10" s="7" t="s">
        <v>64</v>
      </c>
      <c r="Z10" s="7"/>
      <c r="AA10" s="26" t="s">
        <v>99</v>
      </c>
      <c r="AH10" s="39">
        <f>COUNTIF(D10:AG11, "*x*")</f>
        <v>6</v>
      </c>
    </row>
    <row r="11" spans="1:34" ht="15" customHeight="1" x14ac:dyDescent="0.2">
      <c r="A11" s="37"/>
      <c r="B11" s="38"/>
      <c r="C11" s="15" t="s">
        <v>100</v>
      </c>
      <c r="D11" s="15"/>
      <c r="E11" s="15"/>
      <c r="F11" s="15"/>
      <c r="G11" s="15"/>
      <c r="H11" s="15"/>
      <c r="I11" s="15"/>
      <c r="J11" s="15"/>
      <c r="K11" s="15"/>
      <c r="L11" s="15"/>
      <c r="M11" s="15"/>
      <c r="N11" s="15"/>
      <c r="O11" s="15"/>
      <c r="P11" s="25" t="s">
        <v>882</v>
      </c>
      <c r="Q11" s="15"/>
      <c r="R11" s="15"/>
      <c r="S11" s="15"/>
      <c r="T11" s="7"/>
      <c r="U11" s="7"/>
      <c r="V11" s="7"/>
      <c r="W11" s="7"/>
      <c r="X11" s="29" t="s">
        <v>101</v>
      </c>
      <c r="Y11" s="7"/>
      <c r="Z11" s="7"/>
      <c r="AH11" s="39"/>
    </row>
    <row r="12" spans="1:34" x14ac:dyDescent="0.2">
      <c r="A12" s="27"/>
      <c r="B12" s="8"/>
      <c r="C12" s="8"/>
      <c r="D12" s="8"/>
      <c r="E12" s="8"/>
      <c r="F12" s="8"/>
      <c r="G12" s="8"/>
      <c r="H12" s="8"/>
      <c r="I12" s="8"/>
      <c r="J12" s="8"/>
      <c r="K12" s="8"/>
      <c r="L12" s="8"/>
      <c r="M12" s="8"/>
      <c r="N12" s="8"/>
      <c r="O12" s="8"/>
      <c r="P12" s="8"/>
      <c r="Q12" s="8"/>
      <c r="R12" s="8"/>
      <c r="S12" s="8"/>
      <c r="T12" s="7"/>
      <c r="U12" s="7"/>
      <c r="V12" s="7"/>
      <c r="W12" s="7"/>
      <c r="X12" s="7"/>
      <c r="AH12" s="30"/>
    </row>
  </sheetData>
  <mergeCells count="9">
    <mergeCell ref="A10:A11"/>
    <mergeCell ref="B10:B11"/>
    <mergeCell ref="AH10:AH11"/>
    <mergeCell ref="A2:A3"/>
    <mergeCell ref="B2:B3"/>
    <mergeCell ref="AH2:AH3"/>
    <mergeCell ref="A4:A5"/>
    <mergeCell ref="B4:B5"/>
    <mergeCell ref="AH4:A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8"/>
  <sheetViews>
    <sheetView workbookViewId="0">
      <selection activeCell="D7" sqref="D7"/>
    </sheetView>
  </sheetViews>
  <sheetFormatPr baseColWidth="10" defaultColWidth="8.83203125" defaultRowHeight="15" x14ac:dyDescent="0.2"/>
  <cols>
    <col min="1" max="1" width="59.33203125" customWidth="1"/>
    <col min="2" max="4" width="18" customWidth="1"/>
    <col min="5" max="5" width="21.6640625" customWidth="1"/>
    <col min="6" max="6" width="19.33203125" customWidth="1"/>
    <col min="7" max="7" width="21.33203125" customWidth="1"/>
    <col min="8" max="8" width="15.5" customWidth="1"/>
  </cols>
  <sheetData>
    <row r="1" spans="1:8" x14ac:dyDescent="0.2">
      <c r="A1" t="s">
        <v>6</v>
      </c>
    </row>
    <row r="2" spans="1:8" x14ac:dyDescent="0.2">
      <c r="A2" t="s">
        <v>7</v>
      </c>
    </row>
    <row r="4" spans="1:8" x14ac:dyDescent="0.2">
      <c r="A4" s="1" t="s">
        <v>0</v>
      </c>
      <c r="B4" s="2" t="s">
        <v>1</v>
      </c>
      <c r="C4" s="2" t="s">
        <v>2</v>
      </c>
      <c r="D4" s="2" t="s">
        <v>3</v>
      </c>
      <c r="E4" s="2" t="s">
        <v>4</v>
      </c>
      <c r="F4" s="14" t="s">
        <v>20</v>
      </c>
    </row>
    <row r="5" spans="1:8" ht="33" thickBot="1" x14ac:dyDescent="0.25">
      <c r="A5" s="3" t="s">
        <v>102</v>
      </c>
      <c r="B5" s="6">
        <v>0</v>
      </c>
      <c r="C5" s="6">
        <v>0</v>
      </c>
      <c r="D5" s="6">
        <v>72</v>
      </c>
      <c r="E5" s="6">
        <v>51</v>
      </c>
      <c r="F5" s="15">
        <f>SUM(B5:E5)</f>
        <v>123</v>
      </c>
    </row>
    <row r="6" spans="1:8" ht="23" thickTop="1" thickBot="1" x14ac:dyDescent="0.25">
      <c r="A6" s="4" t="s">
        <v>5</v>
      </c>
      <c r="B6" s="5">
        <f>SUM(B5)</f>
        <v>0</v>
      </c>
      <c r="C6" s="5">
        <f>SUM(C5)</f>
        <v>0</v>
      </c>
      <c r="D6" s="5">
        <f>SUM(D5)</f>
        <v>72</v>
      </c>
      <c r="E6" s="5">
        <f>SUM(E5)</f>
        <v>51</v>
      </c>
      <c r="F6" s="5">
        <f>SUM(B6:E6)</f>
        <v>123</v>
      </c>
    </row>
    <row r="7" spans="1:8" ht="23" thickTop="1" thickBot="1" x14ac:dyDescent="0.25">
      <c r="A7" s="5"/>
      <c r="B7" s="5"/>
      <c r="C7" s="5"/>
      <c r="D7" s="5"/>
      <c r="E7" s="5" t="s">
        <v>21</v>
      </c>
      <c r="F7" s="5">
        <f>COUNTIFS(Table6[ID],"&lt;&gt;""",Table6[ID],"&lt;&gt;*Forward*")</f>
        <v>81</v>
      </c>
    </row>
    <row r="8" spans="1:8" ht="23" thickTop="1" thickBot="1" x14ac:dyDescent="0.25">
      <c r="E8" s="5" t="s">
        <v>26</v>
      </c>
      <c r="F8" s="5">
        <f>COUNTIFS(Table6[Valid],TRUE,Table6[ID],"&lt;&gt;*Forward*")</f>
        <v>81</v>
      </c>
    </row>
    <row r="9" spans="1:8" ht="26.5" customHeight="1" thickTop="1" thickBot="1" x14ac:dyDescent="0.25">
      <c r="E9" s="5" t="s">
        <v>27</v>
      </c>
      <c r="F9" s="5">
        <f>COUNTIFS(Table6[Valid],TRUE,Table6[Title Filter],TRUE,Table6[ID],"&lt;&gt;*Forward*")</f>
        <v>26</v>
      </c>
    </row>
    <row r="10" spans="1:8" ht="23" thickTop="1" thickBot="1" x14ac:dyDescent="0.25">
      <c r="E10" s="5" t="s">
        <v>28</v>
      </c>
      <c r="F10" s="5">
        <f>COUNTIFS(Table6[Valid],TRUE,Table6[Title Filter],TRUE,Table6[Abstract Filter],TRUE,Table6[ID],"&lt;&gt;*Forward*")</f>
        <v>25</v>
      </c>
    </row>
    <row r="11" spans="1:8" ht="23" thickTop="1" thickBot="1" x14ac:dyDescent="0.25">
      <c r="E11" s="5" t="s">
        <v>29</v>
      </c>
      <c r="F11" s="5">
        <f>COUNTIFS(Table6[Valid],TRUE,Table6[Title Filter],TRUE,Table6[Abstract Filter],TRUE,Table6[Full-Text Filter],TRUE,Table6[ID],"&lt;&gt;*Forward*")</f>
        <v>16</v>
      </c>
      <c r="G11" s="5" t="s">
        <v>30</v>
      </c>
      <c r="H11" s="5">
        <f>COUNTIFS(Table6[Valid],TRUE,Table6[Title Filter],TRUE,Table6[Abstract Filter],TRUE,Table6[Full-Text Filter],TRUE,Table6[ID],"*Forward*")</f>
        <v>15</v>
      </c>
    </row>
    <row r="12" spans="1:8" ht="22" thickTop="1" x14ac:dyDescent="0.2">
      <c r="E12" s="5" t="s">
        <v>20</v>
      </c>
      <c r="F12" s="5">
        <f>SUM(F11,H11)</f>
        <v>31</v>
      </c>
    </row>
    <row r="14" spans="1:8" ht="21" x14ac:dyDescent="0.25">
      <c r="A14" s="17" t="s">
        <v>32</v>
      </c>
    </row>
    <row r="15" spans="1:8" x14ac:dyDescent="0.2">
      <c r="A15" s="13" t="s">
        <v>103</v>
      </c>
    </row>
    <row r="16" spans="1:8" x14ac:dyDescent="0.2">
      <c r="A16" s="13" t="s">
        <v>840</v>
      </c>
    </row>
    <row r="17" spans="1:1" x14ac:dyDescent="0.2">
      <c r="A17" s="13" t="s">
        <v>693</v>
      </c>
    </row>
    <row r="18" spans="1:1" x14ac:dyDescent="0.2">
      <c r="A18" s="13"/>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35F8-C2ED-4782-BB7C-644FC0E3CB28}">
  <sheetPr codeName="Sheet2"/>
  <dimension ref="A1:M105"/>
  <sheetViews>
    <sheetView topLeftCell="A35" zoomScale="119" zoomScaleNormal="119" workbookViewId="0">
      <selection activeCell="C105" sqref="C105"/>
    </sheetView>
  </sheetViews>
  <sheetFormatPr baseColWidth="10" defaultColWidth="8.83203125" defaultRowHeight="15" x14ac:dyDescent="0.2"/>
  <cols>
    <col min="1" max="1" width="18.33203125" customWidth="1"/>
    <col min="3" max="3" width="73.6640625" customWidth="1"/>
    <col min="4" max="4" width="23.6640625" customWidth="1"/>
    <col min="5" max="5" width="27.5" customWidth="1"/>
    <col min="6" max="6" width="17.6640625" hidden="1" customWidth="1"/>
    <col min="7" max="7" width="85.33203125" hidden="1" customWidth="1"/>
    <col min="8" max="8" width="14.5" customWidth="1"/>
    <col min="9" max="9" width="17.5" customWidth="1"/>
    <col min="10" max="10" width="44.5" customWidth="1"/>
    <col min="11" max="11" width="17" customWidth="1"/>
    <col min="12" max="12" width="15.33203125" customWidth="1"/>
    <col min="13" max="13" width="50.6640625" customWidth="1"/>
  </cols>
  <sheetData>
    <row r="1" spans="1:13" x14ac:dyDescent="0.2">
      <c r="A1" t="s">
        <v>15</v>
      </c>
      <c r="B1" t="s">
        <v>26</v>
      </c>
      <c r="C1" t="s">
        <v>9</v>
      </c>
      <c r="D1" t="s">
        <v>31</v>
      </c>
      <c r="E1" t="s">
        <v>8</v>
      </c>
      <c r="F1" t="s">
        <v>10</v>
      </c>
      <c r="G1" t="s">
        <v>12</v>
      </c>
      <c r="H1" t="s">
        <v>33</v>
      </c>
      <c r="I1" t="s">
        <v>34</v>
      </c>
      <c r="J1" t="s">
        <v>35</v>
      </c>
      <c r="K1" t="s">
        <v>13</v>
      </c>
      <c r="L1" t="s">
        <v>14</v>
      </c>
      <c r="M1" t="s">
        <v>16</v>
      </c>
    </row>
    <row r="2" spans="1:13" hidden="1" x14ac:dyDescent="0.2">
      <c r="A2" t="s">
        <v>452</v>
      </c>
      <c r="B2" t="b">
        <v>1</v>
      </c>
      <c r="C2" t="s">
        <v>104</v>
      </c>
      <c r="D2" t="b">
        <v>0</v>
      </c>
      <c r="E2" t="s">
        <v>105</v>
      </c>
      <c r="F2" t="s">
        <v>106</v>
      </c>
      <c r="G2" t="s">
        <v>107</v>
      </c>
      <c r="K2">
        <v>2026</v>
      </c>
      <c r="L2">
        <v>0</v>
      </c>
      <c r="M2" t="s">
        <v>108</v>
      </c>
    </row>
    <row r="3" spans="1:13" hidden="1" x14ac:dyDescent="0.2">
      <c r="A3" t="s">
        <v>453</v>
      </c>
      <c r="B3" t="b">
        <v>1</v>
      </c>
      <c r="C3" t="s">
        <v>109</v>
      </c>
      <c r="D3" t="b">
        <v>0</v>
      </c>
      <c r="E3" t="s">
        <v>110</v>
      </c>
      <c r="F3" t="s">
        <v>111</v>
      </c>
      <c r="G3" t="s">
        <v>112</v>
      </c>
      <c r="K3">
        <v>2026</v>
      </c>
      <c r="L3">
        <v>0</v>
      </c>
      <c r="M3" t="s">
        <v>113</v>
      </c>
    </row>
    <row r="4" spans="1:13" hidden="1" x14ac:dyDescent="0.2">
      <c r="A4" t="s">
        <v>454</v>
      </c>
      <c r="B4" t="b">
        <v>1</v>
      </c>
      <c r="C4" t="s">
        <v>114</v>
      </c>
      <c r="D4" t="b">
        <v>0</v>
      </c>
      <c r="E4" t="s">
        <v>115</v>
      </c>
      <c r="F4" t="s">
        <v>116</v>
      </c>
      <c r="G4" t="s">
        <v>117</v>
      </c>
      <c r="K4">
        <v>2025</v>
      </c>
      <c r="L4">
        <v>0</v>
      </c>
      <c r="M4" t="s">
        <v>118</v>
      </c>
    </row>
    <row r="5" spans="1:13" x14ac:dyDescent="0.2">
      <c r="A5" t="s">
        <v>459</v>
      </c>
      <c r="B5" t="b">
        <v>1</v>
      </c>
      <c r="C5" s="22" t="s">
        <v>137</v>
      </c>
      <c r="D5" t="b">
        <v>1</v>
      </c>
      <c r="E5" t="s">
        <v>138</v>
      </c>
      <c r="F5" t="s">
        <v>139</v>
      </c>
      <c r="G5" t="s">
        <v>140</v>
      </c>
      <c r="H5" t="b">
        <v>1</v>
      </c>
      <c r="I5" t="b">
        <v>1</v>
      </c>
      <c r="K5">
        <v>2025</v>
      </c>
      <c r="L5">
        <v>0</v>
      </c>
      <c r="M5" t="s">
        <v>141</v>
      </c>
    </row>
    <row r="6" spans="1:13" hidden="1" x14ac:dyDescent="0.2">
      <c r="A6" t="s">
        <v>456</v>
      </c>
      <c r="B6" t="b">
        <v>1</v>
      </c>
      <c r="C6" t="s">
        <v>123</v>
      </c>
      <c r="D6" t="b">
        <v>0</v>
      </c>
      <c r="E6" t="s">
        <v>124</v>
      </c>
      <c r="F6" t="s">
        <v>11</v>
      </c>
      <c r="G6" t="s">
        <v>125</v>
      </c>
      <c r="K6">
        <v>2025</v>
      </c>
      <c r="L6">
        <v>0</v>
      </c>
      <c r="M6" t="s">
        <v>126</v>
      </c>
    </row>
    <row r="7" spans="1:13" hidden="1" x14ac:dyDescent="0.2">
      <c r="A7" t="s">
        <v>457</v>
      </c>
      <c r="B7" t="b">
        <v>1</v>
      </c>
      <c r="C7" t="s">
        <v>127</v>
      </c>
      <c r="D7" t="b">
        <v>0</v>
      </c>
      <c r="E7" t="s">
        <v>128</v>
      </c>
      <c r="F7" t="s">
        <v>129</v>
      </c>
      <c r="G7" t="s">
        <v>130</v>
      </c>
      <c r="K7">
        <v>2025</v>
      </c>
      <c r="L7">
        <v>0</v>
      </c>
      <c r="M7" t="s">
        <v>131</v>
      </c>
    </row>
    <row r="8" spans="1:13" hidden="1" x14ac:dyDescent="0.2">
      <c r="A8" t="s">
        <v>458</v>
      </c>
      <c r="B8" t="b">
        <v>1</v>
      </c>
      <c r="C8" t="s">
        <v>132</v>
      </c>
      <c r="D8" t="b">
        <v>0</v>
      </c>
      <c r="E8" t="s">
        <v>133</v>
      </c>
      <c r="F8" t="s">
        <v>134</v>
      </c>
      <c r="G8" t="s">
        <v>135</v>
      </c>
      <c r="K8">
        <v>2025</v>
      </c>
      <c r="L8">
        <v>0</v>
      </c>
      <c r="M8" t="s">
        <v>136</v>
      </c>
    </row>
    <row r="9" spans="1:13" x14ac:dyDescent="0.2">
      <c r="A9" t="s">
        <v>795</v>
      </c>
      <c r="B9" t="b">
        <v>1</v>
      </c>
      <c r="C9" t="s">
        <v>694</v>
      </c>
      <c r="D9" t="b">
        <v>1</v>
      </c>
      <c r="E9" t="s">
        <v>731</v>
      </c>
      <c r="F9" t="s">
        <v>732</v>
      </c>
      <c r="G9" t="s">
        <v>733</v>
      </c>
      <c r="H9" t="b">
        <v>1</v>
      </c>
      <c r="I9" t="b">
        <v>0</v>
      </c>
      <c r="J9" t="s">
        <v>845</v>
      </c>
      <c r="K9">
        <v>2024</v>
      </c>
      <c r="M9" t="s">
        <v>734</v>
      </c>
    </row>
    <row r="10" spans="1:13" hidden="1" x14ac:dyDescent="0.2">
      <c r="A10" t="s">
        <v>460</v>
      </c>
      <c r="B10" t="b">
        <v>1</v>
      </c>
      <c r="C10" t="s">
        <v>142</v>
      </c>
      <c r="D10" t="b">
        <v>0</v>
      </c>
      <c r="E10" t="s">
        <v>143</v>
      </c>
      <c r="F10" t="s">
        <v>144</v>
      </c>
      <c r="G10" t="s">
        <v>145</v>
      </c>
      <c r="K10">
        <v>2025</v>
      </c>
      <c r="L10">
        <v>0</v>
      </c>
      <c r="M10" t="s">
        <v>146</v>
      </c>
    </row>
    <row r="11" spans="1:13" x14ac:dyDescent="0.2">
      <c r="A11" t="s">
        <v>501</v>
      </c>
      <c r="B11" t="b">
        <v>1</v>
      </c>
      <c r="C11" s="22" t="s">
        <v>340</v>
      </c>
      <c r="D11" t="b">
        <v>1</v>
      </c>
      <c r="E11" t="s">
        <v>341</v>
      </c>
      <c r="F11" t="s">
        <v>342</v>
      </c>
      <c r="G11" t="s">
        <v>343</v>
      </c>
      <c r="H11" t="b">
        <v>1</v>
      </c>
      <c r="I11" t="b">
        <v>1</v>
      </c>
      <c r="K11">
        <v>2023</v>
      </c>
      <c r="L11">
        <v>4</v>
      </c>
      <c r="M11" t="s">
        <v>344</v>
      </c>
    </row>
    <row r="12" spans="1:13" hidden="1" x14ac:dyDescent="0.2">
      <c r="A12" t="s">
        <v>462</v>
      </c>
      <c r="B12" t="b">
        <v>1</v>
      </c>
      <c r="C12" t="s">
        <v>152</v>
      </c>
      <c r="D12" t="b">
        <v>0</v>
      </c>
      <c r="E12" t="s">
        <v>153</v>
      </c>
      <c r="F12" t="s">
        <v>154</v>
      </c>
      <c r="G12" t="s">
        <v>155</v>
      </c>
      <c r="K12">
        <v>2025</v>
      </c>
      <c r="L12">
        <v>0</v>
      </c>
      <c r="M12" t="s">
        <v>156</v>
      </c>
    </row>
    <row r="13" spans="1:13" x14ac:dyDescent="0.2">
      <c r="A13" t="s">
        <v>805</v>
      </c>
      <c r="B13" t="b">
        <v>1</v>
      </c>
      <c r="C13" s="22" t="s">
        <v>772</v>
      </c>
      <c r="D13" t="b">
        <v>1</v>
      </c>
      <c r="E13" t="s">
        <v>784</v>
      </c>
      <c r="F13" t="s">
        <v>785</v>
      </c>
      <c r="G13" t="s">
        <v>786</v>
      </c>
      <c r="H13" t="b">
        <v>1</v>
      </c>
      <c r="I13" t="b">
        <v>1</v>
      </c>
      <c r="K13">
        <v>2024</v>
      </c>
      <c r="M13" t="s">
        <v>787</v>
      </c>
    </row>
    <row r="14" spans="1:13" hidden="1" x14ac:dyDescent="0.2">
      <c r="A14" t="s">
        <v>464</v>
      </c>
      <c r="B14" t="b">
        <v>1</v>
      </c>
      <c r="C14" t="s">
        <v>162</v>
      </c>
      <c r="D14" t="b">
        <v>0</v>
      </c>
      <c r="E14" t="s">
        <v>163</v>
      </c>
      <c r="F14" t="s">
        <v>164</v>
      </c>
      <c r="G14" t="s">
        <v>165</v>
      </c>
      <c r="K14">
        <v>2025</v>
      </c>
      <c r="L14">
        <v>0</v>
      </c>
      <c r="M14" t="s">
        <v>166</v>
      </c>
    </row>
    <row r="15" spans="1:13" hidden="1" x14ac:dyDescent="0.2">
      <c r="A15" t="s">
        <v>465</v>
      </c>
      <c r="B15" t="b">
        <v>1</v>
      </c>
      <c r="C15" t="s">
        <v>167</v>
      </c>
      <c r="D15" t="b">
        <v>0</v>
      </c>
      <c r="E15" t="s">
        <v>168</v>
      </c>
      <c r="F15" t="s">
        <v>169</v>
      </c>
      <c r="G15" t="s">
        <v>170</v>
      </c>
      <c r="K15">
        <v>2025</v>
      </c>
      <c r="L15">
        <v>0</v>
      </c>
      <c r="M15" t="s">
        <v>171</v>
      </c>
    </row>
    <row r="16" spans="1:13" x14ac:dyDescent="0.2">
      <c r="A16" t="s">
        <v>800</v>
      </c>
      <c r="B16" t="b">
        <v>1</v>
      </c>
      <c r="C16" t="s">
        <v>756</v>
      </c>
      <c r="D16" t="b">
        <v>1</v>
      </c>
      <c r="E16" t="s">
        <v>757</v>
      </c>
      <c r="F16" t="s">
        <v>758</v>
      </c>
      <c r="G16" t="s">
        <v>759</v>
      </c>
      <c r="H16" t="b">
        <v>1</v>
      </c>
      <c r="I16" t="b">
        <v>0</v>
      </c>
      <c r="J16" t="s">
        <v>845</v>
      </c>
      <c r="K16">
        <v>2021</v>
      </c>
      <c r="M16" t="s">
        <v>11</v>
      </c>
    </row>
    <row r="17" spans="1:13" x14ac:dyDescent="0.2">
      <c r="A17" t="s">
        <v>789</v>
      </c>
      <c r="B17" t="b">
        <v>1</v>
      </c>
      <c r="C17" s="22" t="s">
        <v>698</v>
      </c>
      <c r="D17" t="b">
        <v>1</v>
      </c>
      <c r="E17" t="s">
        <v>699</v>
      </c>
      <c r="F17" t="s">
        <v>700</v>
      </c>
      <c r="G17" t="s">
        <v>701</v>
      </c>
      <c r="H17" t="b">
        <v>1</v>
      </c>
      <c r="I17" t="b">
        <v>1</v>
      </c>
      <c r="K17">
        <v>2018</v>
      </c>
      <c r="M17" t="s">
        <v>702</v>
      </c>
    </row>
    <row r="18" spans="1:13" x14ac:dyDescent="0.2">
      <c r="A18" t="s">
        <v>498</v>
      </c>
      <c r="B18" t="b">
        <v>1</v>
      </c>
      <c r="C18" t="s">
        <v>325</v>
      </c>
      <c r="D18" t="b">
        <v>1</v>
      </c>
      <c r="E18" t="s">
        <v>326</v>
      </c>
      <c r="F18" t="s">
        <v>327</v>
      </c>
      <c r="G18" t="s">
        <v>328</v>
      </c>
      <c r="H18" t="b">
        <v>1</v>
      </c>
      <c r="I18" t="b">
        <v>0</v>
      </c>
      <c r="J18" t="s">
        <v>845</v>
      </c>
      <c r="K18">
        <v>2024</v>
      </c>
      <c r="L18">
        <v>9</v>
      </c>
      <c r="M18" t="s">
        <v>329</v>
      </c>
    </row>
    <row r="19" spans="1:13" x14ac:dyDescent="0.2">
      <c r="A19" t="s">
        <v>493</v>
      </c>
      <c r="B19" t="b">
        <v>1</v>
      </c>
      <c r="C19" s="22" t="s">
        <v>301</v>
      </c>
      <c r="D19" t="b">
        <v>1</v>
      </c>
      <c r="E19" t="s">
        <v>302</v>
      </c>
      <c r="F19" t="s">
        <v>11</v>
      </c>
      <c r="G19" t="s">
        <v>303</v>
      </c>
      <c r="H19" t="b">
        <v>1</v>
      </c>
      <c r="I19" t="b">
        <v>1</v>
      </c>
      <c r="K19">
        <v>2024</v>
      </c>
      <c r="L19">
        <v>10</v>
      </c>
      <c r="M19" t="s">
        <v>304</v>
      </c>
    </row>
    <row r="20" spans="1:13" x14ac:dyDescent="0.2">
      <c r="A20" t="s">
        <v>471</v>
      </c>
      <c r="B20" t="b">
        <v>1</v>
      </c>
      <c r="C20" t="s">
        <v>196</v>
      </c>
      <c r="D20" t="b">
        <v>1</v>
      </c>
      <c r="E20" t="s">
        <v>197</v>
      </c>
      <c r="F20" t="s">
        <v>198</v>
      </c>
      <c r="G20" t="s">
        <v>199</v>
      </c>
      <c r="H20" t="b">
        <v>1</v>
      </c>
      <c r="I20" t="b">
        <v>0</v>
      </c>
      <c r="J20" t="s">
        <v>845</v>
      </c>
      <c r="K20">
        <v>2025</v>
      </c>
      <c r="L20">
        <v>1</v>
      </c>
      <c r="M20" t="s">
        <v>200</v>
      </c>
    </row>
    <row r="21" spans="1:13" x14ac:dyDescent="0.2">
      <c r="A21" t="s">
        <v>801</v>
      </c>
      <c r="B21" t="b">
        <v>1</v>
      </c>
      <c r="C21" s="22" t="s">
        <v>24</v>
      </c>
      <c r="D21" t="b">
        <v>1</v>
      </c>
      <c r="E21" t="s">
        <v>760</v>
      </c>
      <c r="F21" t="s">
        <v>761</v>
      </c>
      <c r="G21" t="s">
        <v>762</v>
      </c>
      <c r="H21" t="b">
        <v>1</v>
      </c>
      <c r="I21" t="b">
        <v>1</v>
      </c>
      <c r="K21">
        <v>2024</v>
      </c>
      <c r="M21" t="s">
        <v>763</v>
      </c>
    </row>
    <row r="22" spans="1:13" x14ac:dyDescent="0.2">
      <c r="A22" t="s">
        <v>491</v>
      </c>
      <c r="B22" t="b">
        <v>1</v>
      </c>
      <c r="C22" s="22" t="s">
        <v>294</v>
      </c>
      <c r="D22" t="b">
        <v>1</v>
      </c>
      <c r="E22" t="s">
        <v>295</v>
      </c>
      <c r="F22" t="s">
        <v>296</v>
      </c>
      <c r="G22" t="s">
        <v>297</v>
      </c>
      <c r="H22" t="b">
        <v>1</v>
      </c>
      <c r="I22" t="b">
        <v>1</v>
      </c>
      <c r="K22">
        <v>2024</v>
      </c>
      <c r="L22">
        <v>32</v>
      </c>
      <c r="M22" t="s">
        <v>298</v>
      </c>
    </row>
    <row r="23" spans="1:13" hidden="1" x14ac:dyDescent="0.2">
      <c r="A23" t="s">
        <v>473</v>
      </c>
      <c r="B23" t="b">
        <v>1</v>
      </c>
      <c r="C23" t="s">
        <v>206</v>
      </c>
      <c r="D23" t="b">
        <v>0</v>
      </c>
      <c r="E23" t="s">
        <v>207</v>
      </c>
      <c r="F23" t="s">
        <v>208</v>
      </c>
      <c r="G23" t="s">
        <v>209</v>
      </c>
      <c r="K23">
        <v>2025</v>
      </c>
      <c r="L23">
        <v>7</v>
      </c>
      <c r="M23" t="s">
        <v>210</v>
      </c>
    </row>
    <row r="24" spans="1:13" hidden="1" x14ac:dyDescent="0.2">
      <c r="A24" t="s">
        <v>474</v>
      </c>
      <c r="B24" t="b">
        <v>1</v>
      </c>
      <c r="C24" t="s">
        <v>211</v>
      </c>
      <c r="D24" t="b">
        <v>0</v>
      </c>
      <c r="E24" t="s">
        <v>212</v>
      </c>
      <c r="F24" t="s">
        <v>213</v>
      </c>
      <c r="G24" t="s">
        <v>214</v>
      </c>
      <c r="K24">
        <v>2025</v>
      </c>
      <c r="L24">
        <v>0</v>
      </c>
      <c r="M24" t="s">
        <v>215</v>
      </c>
    </row>
    <row r="25" spans="1:13" hidden="1" x14ac:dyDescent="0.2">
      <c r="A25" t="s">
        <v>475</v>
      </c>
      <c r="B25" t="b">
        <v>1</v>
      </c>
      <c r="C25" t="s">
        <v>216</v>
      </c>
      <c r="D25" t="b">
        <v>0</v>
      </c>
      <c r="E25" t="s">
        <v>217</v>
      </c>
      <c r="F25" t="s">
        <v>218</v>
      </c>
      <c r="G25" t="s">
        <v>219</v>
      </c>
      <c r="K25">
        <v>2025</v>
      </c>
      <c r="L25">
        <v>0</v>
      </c>
      <c r="M25" t="s">
        <v>220</v>
      </c>
    </row>
    <row r="26" spans="1:13" hidden="1" x14ac:dyDescent="0.2">
      <c r="A26" t="s">
        <v>476</v>
      </c>
      <c r="B26" t="b">
        <v>1</v>
      </c>
      <c r="C26" t="s">
        <v>221</v>
      </c>
      <c r="D26" t="b">
        <v>0</v>
      </c>
      <c r="E26" t="s">
        <v>222</v>
      </c>
      <c r="F26" t="s">
        <v>223</v>
      </c>
      <c r="G26" t="s">
        <v>224</v>
      </c>
      <c r="K26">
        <v>2025</v>
      </c>
      <c r="L26">
        <v>0</v>
      </c>
      <c r="M26" t="s">
        <v>225</v>
      </c>
    </row>
    <row r="27" spans="1:13" hidden="1" x14ac:dyDescent="0.2">
      <c r="A27" t="s">
        <v>477</v>
      </c>
      <c r="B27" t="b">
        <v>1</v>
      </c>
      <c r="C27" t="s">
        <v>226</v>
      </c>
      <c r="D27" t="b">
        <v>0</v>
      </c>
      <c r="E27" t="s">
        <v>227</v>
      </c>
      <c r="F27" t="s">
        <v>11</v>
      </c>
      <c r="G27" t="s">
        <v>228</v>
      </c>
      <c r="K27">
        <v>2025</v>
      </c>
      <c r="L27">
        <v>0</v>
      </c>
      <c r="M27" t="s">
        <v>229</v>
      </c>
    </row>
    <row r="28" spans="1:13" x14ac:dyDescent="0.2">
      <c r="A28" t="s">
        <v>815</v>
      </c>
      <c r="B28" t="b">
        <v>1</v>
      </c>
      <c r="C28" s="22" t="s">
        <v>818</v>
      </c>
      <c r="D28" t="b">
        <v>1</v>
      </c>
      <c r="E28" t="s">
        <v>819</v>
      </c>
      <c r="G28" t="s">
        <v>820</v>
      </c>
      <c r="H28" t="b">
        <v>1</v>
      </c>
      <c r="I28" t="b">
        <v>1</v>
      </c>
      <c r="K28">
        <v>2024</v>
      </c>
      <c r="M28" s="31" t="s">
        <v>821</v>
      </c>
    </row>
    <row r="29" spans="1:13" hidden="1" x14ac:dyDescent="0.2">
      <c r="A29" t="s">
        <v>479</v>
      </c>
      <c r="B29" t="b">
        <v>1</v>
      </c>
      <c r="C29" t="s">
        <v>235</v>
      </c>
      <c r="D29" t="b">
        <v>0</v>
      </c>
      <c r="E29" t="s">
        <v>236</v>
      </c>
      <c r="F29" t="s">
        <v>11</v>
      </c>
      <c r="G29" t="s">
        <v>237</v>
      </c>
      <c r="K29">
        <v>2025</v>
      </c>
      <c r="L29">
        <v>4</v>
      </c>
      <c r="M29" t="s">
        <v>238</v>
      </c>
    </row>
    <row r="30" spans="1:13" hidden="1" x14ac:dyDescent="0.2">
      <c r="A30" t="s">
        <v>480</v>
      </c>
      <c r="B30" t="b">
        <v>1</v>
      </c>
      <c r="C30" t="s">
        <v>239</v>
      </c>
      <c r="D30" t="b">
        <v>0</v>
      </c>
      <c r="E30" t="s">
        <v>240</v>
      </c>
      <c r="F30" t="s">
        <v>241</v>
      </c>
      <c r="G30" t="s">
        <v>242</v>
      </c>
      <c r="K30">
        <v>2025</v>
      </c>
      <c r="L30">
        <v>2</v>
      </c>
      <c r="M30" t="s">
        <v>243</v>
      </c>
    </row>
    <row r="31" spans="1:13" hidden="1" x14ac:dyDescent="0.2">
      <c r="A31" t="s">
        <v>481</v>
      </c>
      <c r="B31" t="b">
        <v>1</v>
      </c>
      <c r="C31" t="s">
        <v>244</v>
      </c>
      <c r="D31" t="b">
        <v>0</v>
      </c>
      <c r="E31" t="s">
        <v>245</v>
      </c>
      <c r="F31" t="s">
        <v>246</v>
      </c>
      <c r="G31" t="s">
        <v>247</v>
      </c>
      <c r="K31">
        <v>2025</v>
      </c>
      <c r="L31">
        <v>2</v>
      </c>
      <c r="M31" t="s">
        <v>248</v>
      </c>
    </row>
    <row r="32" spans="1:13" hidden="1" x14ac:dyDescent="0.2">
      <c r="A32" t="s">
        <v>482</v>
      </c>
      <c r="B32" t="b">
        <v>1</v>
      </c>
      <c r="C32" t="s">
        <v>249</v>
      </c>
      <c r="D32" t="b">
        <v>0</v>
      </c>
      <c r="E32" t="s">
        <v>250</v>
      </c>
      <c r="F32" t="s">
        <v>251</v>
      </c>
      <c r="G32" t="s">
        <v>252</v>
      </c>
      <c r="K32">
        <v>2025</v>
      </c>
      <c r="L32">
        <v>2</v>
      </c>
      <c r="M32" t="s">
        <v>253</v>
      </c>
    </row>
    <row r="33" spans="1:13" hidden="1" x14ac:dyDescent="0.2">
      <c r="A33" t="s">
        <v>483</v>
      </c>
      <c r="B33" t="b">
        <v>1</v>
      </c>
      <c r="C33" t="s">
        <v>254</v>
      </c>
      <c r="D33" t="b">
        <v>0</v>
      </c>
      <c r="E33" t="s">
        <v>255</v>
      </c>
      <c r="F33" t="s">
        <v>256</v>
      </c>
      <c r="G33" t="s">
        <v>257</v>
      </c>
      <c r="K33">
        <v>2025</v>
      </c>
      <c r="L33">
        <v>20</v>
      </c>
      <c r="M33" t="s">
        <v>258</v>
      </c>
    </row>
    <row r="34" spans="1:13" hidden="1" x14ac:dyDescent="0.2">
      <c r="A34" t="s">
        <v>484</v>
      </c>
      <c r="B34" t="b">
        <v>1</v>
      </c>
      <c r="C34" t="s">
        <v>259</v>
      </c>
      <c r="D34" t="b">
        <v>0</v>
      </c>
      <c r="E34" t="s">
        <v>260</v>
      </c>
      <c r="F34" t="s">
        <v>261</v>
      </c>
      <c r="G34" t="s">
        <v>262</v>
      </c>
      <c r="K34">
        <v>2025</v>
      </c>
      <c r="L34">
        <v>0</v>
      </c>
      <c r="M34" t="s">
        <v>263</v>
      </c>
    </row>
    <row r="35" spans="1:13" x14ac:dyDescent="0.2">
      <c r="A35" t="s">
        <v>485</v>
      </c>
      <c r="B35" t="b">
        <v>1</v>
      </c>
      <c r="C35" s="22" t="s">
        <v>264</v>
      </c>
      <c r="D35" t="b">
        <v>1</v>
      </c>
      <c r="E35" t="s">
        <v>265</v>
      </c>
      <c r="F35" t="s">
        <v>266</v>
      </c>
      <c r="G35" t="s">
        <v>267</v>
      </c>
      <c r="H35" t="b">
        <v>1</v>
      </c>
      <c r="I35" t="b">
        <v>1</v>
      </c>
      <c r="K35">
        <v>2025</v>
      </c>
      <c r="L35">
        <v>5</v>
      </c>
      <c r="M35" t="s">
        <v>268</v>
      </c>
    </row>
    <row r="36" spans="1:13" hidden="1" x14ac:dyDescent="0.2">
      <c r="A36" t="s">
        <v>486</v>
      </c>
      <c r="B36" t="b">
        <v>1</v>
      </c>
      <c r="C36" t="s">
        <v>269</v>
      </c>
      <c r="D36" t="b">
        <v>0</v>
      </c>
      <c r="E36" t="s">
        <v>270</v>
      </c>
      <c r="F36" t="s">
        <v>271</v>
      </c>
      <c r="G36" t="s">
        <v>272</v>
      </c>
      <c r="K36">
        <v>2025</v>
      </c>
      <c r="L36">
        <v>4</v>
      </c>
      <c r="M36" t="s">
        <v>273</v>
      </c>
    </row>
    <row r="37" spans="1:13" hidden="1" x14ac:dyDescent="0.2">
      <c r="A37" t="s">
        <v>487</v>
      </c>
      <c r="B37" t="b">
        <v>1</v>
      </c>
      <c r="C37" t="s">
        <v>274</v>
      </c>
      <c r="D37" t="b">
        <v>0</v>
      </c>
      <c r="E37" t="s">
        <v>275</v>
      </c>
      <c r="F37" t="s">
        <v>276</v>
      </c>
      <c r="G37" t="s">
        <v>277</v>
      </c>
      <c r="K37">
        <v>2025</v>
      </c>
      <c r="L37">
        <v>1</v>
      </c>
      <c r="M37" t="s">
        <v>278</v>
      </c>
    </row>
    <row r="38" spans="1:13" hidden="1" x14ac:dyDescent="0.2">
      <c r="A38" t="s">
        <v>803</v>
      </c>
      <c r="B38" t="b">
        <v>1</v>
      </c>
      <c r="C38" s="32" t="s">
        <v>22</v>
      </c>
      <c r="D38" t="b">
        <v>1</v>
      </c>
      <c r="E38" t="s">
        <v>768</v>
      </c>
      <c r="F38" t="s">
        <v>11</v>
      </c>
      <c r="G38" t="s">
        <v>23</v>
      </c>
      <c r="H38" t="b">
        <v>0</v>
      </c>
      <c r="I38" t="b">
        <v>0</v>
      </c>
      <c r="K38">
        <v>2021</v>
      </c>
      <c r="M38" t="s">
        <v>11</v>
      </c>
    </row>
    <row r="39" spans="1:13" hidden="1" x14ac:dyDescent="0.2">
      <c r="A39" t="s">
        <v>489</v>
      </c>
      <c r="B39" t="b">
        <v>1</v>
      </c>
      <c r="C39" t="s">
        <v>284</v>
      </c>
      <c r="D39" t="b">
        <v>0</v>
      </c>
      <c r="E39" t="s">
        <v>285</v>
      </c>
      <c r="F39" t="s">
        <v>286</v>
      </c>
      <c r="G39" t="s">
        <v>287</v>
      </c>
      <c r="K39">
        <v>2024</v>
      </c>
      <c r="L39">
        <v>5</v>
      </c>
      <c r="M39" t="s">
        <v>288</v>
      </c>
    </row>
    <row r="40" spans="1:13" x14ac:dyDescent="0.2">
      <c r="A40" t="s">
        <v>791</v>
      </c>
      <c r="B40" t="b">
        <v>1</v>
      </c>
      <c r="C40" s="22" t="s">
        <v>708</v>
      </c>
      <c r="D40" t="b">
        <v>1</v>
      </c>
      <c r="E40" t="s">
        <v>709</v>
      </c>
      <c r="F40" t="s">
        <v>710</v>
      </c>
      <c r="G40" t="s">
        <v>711</v>
      </c>
      <c r="H40" t="b">
        <v>1</v>
      </c>
      <c r="I40" t="b">
        <v>1</v>
      </c>
      <c r="K40">
        <v>2024</v>
      </c>
      <c r="M40" t="s">
        <v>712</v>
      </c>
    </row>
    <row r="41" spans="1:13" x14ac:dyDescent="0.2">
      <c r="A41" t="s">
        <v>793</v>
      </c>
      <c r="B41" t="b">
        <v>1</v>
      </c>
      <c r="C41" s="22" t="s">
        <v>717</v>
      </c>
      <c r="D41" t="b">
        <v>1</v>
      </c>
      <c r="E41" t="s">
        <v>718</v>
      </c>
      <c r="F41" t="s">
        <v>719</v>
      </c>
      <c r="G41" t="s">
        <v>720</v>
      </c>
      <c r="H41" t="b">
        <v>1</v>
      </c>
      <c r="I41" t="b">
        <v>1</v>
      </c>
      <c r="K41">
        <v>2024</v>
      </c>
      <c r="M41" t="s">
        <v>721</v>
      </c>
    </row>
    <row r="42" spans="1:13" x14ac:dyDescent="0.2">
      <c r="A42" t="s">
        <v>490</v>
      </c>
      <c r="B42" t="b">
        <v>1</v>
      </c>
      <c r="C42" s="22" t="s">
        <v>289</v>
      </c>
      <c r="D42" t="b">
        <v>1</v>
      </c>
      <c r="E42" t="s">
        <v>290</v>
      </c>
      <c r="F42" t="s">
        <v>291</v>
      </c>
      <c r="G42" t="s">
        <v>292</v>
      </c>
      <c r="H42" t="b">
        <v>1</v>
      </c>
      <c r="I42" t="b">
        <v>1</v>
      </c>
      <c r="K42">
        <v>2024</v>
      </c>
      <c r="L42">
        <v>6</v>
      </c>
      <c r="M42" t="s">
        <v>293</v>
      </c>
    </row>
    <row r="43" spans="1:13" x14ac:dyDescent="0.2">
      <c r="A43" t="s">
        <v>508</v>
      </c>
      <c r="B43" t="b">
        <v>1</v>
      </c>
      <c r="C43" t="s">
        <v>374</v>
      </c>
      <c r="D43" t="b">
        <v>1</v>
      </c>
      <c r="E43" t="s">
        <v>375</v>
      </c>
      <c r="F43" t="s">
        <v>376</v>
      </c>
      <c r="G43" t="s">
        <v>377</v>
      </c>
      <c r="H43" t="b">
        <v>1</v>
      </c>
      <c r="I43" t="b">
        <v>0</v>
      </c>
      <c r="J43" t="s">
        <v>845</v>
      </c>
      <c r="K43">
        <v>2023</v>
      </c>
      <c r="L43">
        <v>0</v>
      </c>
      <c r="M43" t="s">
        <v>378</v>
      </c>
    </row>
    <row r="44" spans="1:13" hidden="1" x14ac:dyDescent="0.2">
      <c r="A44" t="s">
        <v>494</v>
      </c>
      <c r="B44" t="b">
        <v>1</v>
      </c>
      <c r="C44" t="s">
        <v>305</v>
      </c>
      <c r="D44" t="b">
        <v>0</v>
      </c>
      <c r="E44" t="s">
        <v>306</v>
      </c>
      <c r="F44" t="s">
        <v>307</v>
      </c>
      <c r="G44" t="s">
        <v>308</v>
      </c>
      <c r="K44">
        <v>2024</v>
      </c>
      <c r="L44">
        <v>0</v>
      </c>
      <c r="M44" t="s">
        <v>309</v>
      </c>
    </row>
    <row r="45" spans="1:13" x14ac:dyDescent="0.2">
      <c r="A45" t="s">
        <v>468</v>
      </c>
      <c r="B45" t="b">
        <v>1</v>
      </c>
      <c r="C45" t="s">
        <v>181</v>
      </c>
      <c r="D45" t="b">
        <v>1</v>
      </c>
      <c r="E45" t="s">
        <v>182</v>
      </c>
      <c r="F45" t="s">
        <v>183</v>
      </c>
      <c r="G45" t="s">
        <v>184</v>
      </c>
      <c r="H45" t="b">
        <v>1</v>
      </c>
      <c r="I45" t="b">
        <v>0</v>
      </c>
      <c r="J45" t="s">
        <v>845</v>
      </c>
      <c r="K45">
        <v>2025</v>
      </c>
      <c r="L45">
        <v>2</v>
      </c>
      <c r="M45" t="s">
        <v>185</v>
      </c>
    </row>
    <row r="46" spans="1:13" hidden="1" x14ac:dyDescent="0.2">
      <c r="A46" t="s">
        <v>496</v>
      </c>
      <c r="B46" t="b">
        <v>1</v>
      </c>
      <c r="C46" t="s">
        <v>315</v>
      </c>
      <c r="D46" t="b">
        <v>0</v>
      </c>
      <c r="E46" t="s">
        <v>316</v>
      </c>
      <c r="F46" t="s">
        <v>317</v>
      </c>
      <c r="G46" t="s">
        <v>318</v>
      </c>
      <c r="K46">
        <v>2024</v>
      </c>
      <c r="L46">
        <v>0</v>
      </c>
      <c r="M46" t="s">
        <v>319</v>
      </c>
    </row>
    <row r="47" spans="1:13" hidden="1" x14ac:dyDescent="0.2">
      <c r="A47" t="s">
        <v>497</v>
      </c>
      <c r="B47" t="b">
        <v>1</v>
      </c>
      <c r="C47" t="s">
        <v>320</v>
      </c>
      <c r="D47" t="b">
        <v>0</v>
      </c>
      <c r="E47" t="s">
        <v>321</v>
      </c>
      <c r="F47" t="s">
        <v>322</v>
      </c>
      <c r="G47" t="s">
        <v>323</v>
      </c>
      <c r="K47">
        <v>2024</v>
      </c>
      <c r="L47">
        <v>0</v>
      </c>
      <c r="M47" t="s">
        <v>324</v>
      </c>
    </row>
    <row r="48" spans="1:13" x14ac:dyDescent="0.2">
      <c r="A48" t="s">
        <v>503</v>
      </c>
      <c r="B48" t="b">
        <v>1</v>
      </c>
      <c r="C48" s="22" t="s">
        <v>349</v>
      </c>
      <c r="D48" t="b">
        <v>1</v>
      </c>
      <c r="E48" t="s">
        <v>350</v>
      </c>
      <c r="F48" t="s">
        <v>351</v>
      </c>
      <c r="G48" t="s">
        <v>352</v>
      </c>
      <c r="H48" t="b">
        <v>1</v>
      </c>
      <c r="I48" t="b">
        <v>1</v>
      </c>
      <c r="K48">
        <v>2023</v>
      </c>
      <c r="L48">
        <v>0</v>
      </c>
      <c r="M48" t="s">
        <v>353</v>
      </c>
    </row>
    <row r="49" spans="1:13" hidden="1" x14ac:dyDescent="0.2">
      <c r="A49" t="s">
        <v>499</v>
      </c>
      <c r="B49" t="b">
        <v>1</v>
      </c>
      <c r="C49" t="s">
        <v>330</v>
      </c>
      <c r="D49" t="b">
        <v>0</v>
      </c>
      <c r="E49" t="s">
        <v>331</v>
      </c>
      <c r="F49" t="s">
        <v>332</v>
      </c>
      <c r="G49" t="s">
        <v>333</v>
      </c>
      <c r="K49">
        <v>2024</v>
      </c>
      <c r="L49">
        <v>2</v>
      </c>
      <c r="M49" t="s">
        <v>334</v>
      </c>
    </row>
    <row r="50" spans="1:13" hidden="1" x14ac:dyDescent="0.2">
      <c r="A50" t="s">
        <v>500</v>
      </c>
      <c r="B50" t="b">
        <v>1</v>
      </c>
      <c r="C50" t="s">
        <v>335</v>
      </c>
      <c r="D50" t="b">
        <v>0</v>
      </c>
      <c r="E50" t="s">
        <v>336</v>
      </c>
      <c r="F50" t="s">
        <v>337</v>
      </c>
      <c r="G50" t="s">
        <v>338</v>
      </c>
      <c r="K50">
        <v>2024</v>
      </c>
      <c r="L50">
        <v>0</v>
      </c>
      <c r="M50" t="s">
        <v>339</v>
      </c>
    </row>
    <row r="51" spans="1:13" x14ac:dyDescent="0.2">
      <c r="A51" t="s">
        <v>466</v>
      </c>
      <c r="B51" t="b">
        <v>1</v>
      </c>
      <c r="C51" s="22" t="s">
        <v>172</v>
      </c>
      <c r="D51" t="b">
        <v>1</v>
      </c>
      <c r="E51" t="s">
        <v>173</v>
      </c>
      <c r="F51" t="s">
        <v>11</v>
      </c>
      <c r="G51" t="s">
        <v>174</v>
      </c>
      <c r="H51" t="b">
        <v>1</v>
      </c>
      <c r="I51" t="b">
        <v>1</v>
      </c>
      <c r="K51">
        <v>2025</v>
      </c>
      <c r="L51">
        <v>0</v>
      </c>
      <c r="M51" t="s">
        <v>175</v>
      </c>
    </row>
    <row r="52" spans="1:13" hidden="1" x14ac:dyDescent="0.2">
      <c r="A52" t="s">
        <v>502</v>
      </c>
      <c r="B52" t="b">
        <v>1</v>
      </c>
      <c r="C52" t="s">
        <v>345</v>
      </c>
      <c r="D52" t="b">
        <v>0</v>
      </c>
      <c r="E52" t="s">
        <v>346</v>
      </c>
      <c r="F52" t="s">
        <v>11</v>
      </c>
      <c r="G52" t="s">
        <v>347</v>
      </c>
      <c r="K52">
        <v>2023</v>
      </c>
      <c r="L52">
        <v>3</v>
      </c>
      <c r="M52" t="s">
        <v>348</v>
      </c>
    </row>
    <row r="53" spans="1:13" x14ac:dyDescent="0.2">
      <c r="A53" t="s">
        <v>802</v>
      </c>
      <c r="B53" t="b">
        <v>1</v>
      </c>
      <c r="C53" t="s">
        <v>25</v>
      </c>
      <c r="D53" t="b">
        <v>1</v>
      </c>
      <c r="E53" t="s">
        <v>764</v>
      </c>
      <c r="F53" t="s">
        <v>765</v>
      </c>
      <c r="G53" t="s">
        <v>766</v>
      </c>
      <c r="H53" t="b">
        <v>1</v>
      </c>
      <c r="I53" t="b">
        <v>0</v>
      </c>
      <c r="J53" t="s">
        <v>845</v>
      </c>
      <c r="K53">
        <v>2024</v>
      </c>
      <c r="M53" t="s">
        <v>767</v>
      </c>
    </row>
    <row r="54" spans="1:13" hidden="1" x14ac:dyDescent="0.2">
      <c r="A54" t="s">
        <v>504</v>
      </c>
      <c r="B54" t="b">
        <v>1</v>
      </c>
      <c r="C54" t="s">
        <v>354</v>
      </c>
      <c r="D54" t="b">
        <v>0</v>
      </c>
      <c r="E54" t="s">
        <v>355</v>
      </c>
      <c r="F54" t="s">
        <v>356</v>
      </c>
      <c r="G54" t="s">
        <v>357</v>
      </c>
      <c r="K54">
        <v>2023</v>
      </c>
      <c r="L54">
        <v>0</v>
      </c>
      <c r="M54" t="s">
        <v>358</v>
      </c>
    </row>
    <row r="55" spans="1:13" x14ac:dyDescent="0.2">
      <c r="A55" t="s">
        <v>804</v>
      </c>
      <c r="B55" t="b">
        <v>1</v>
      </c>
      <c r="C55" s="22" t="s">
        <v>773</v>
      </c>
      <c r="D55" t="b">
        <v>1</v>
      </c>
      <c r="E55" t="s">
        <v>774</v>
      </c>
      <c r="F55" t="s">
        <v>775</v>
      </c>
      <c r="G55" t="s">
        <v>776</v>
      </c>
      <c r="H55" t="b">
        <v>1</v>
      </c>
      <c r="I55" t="b">
        <v>1</v>
      </c>
      <c r="K55">
        <v>2025</v>
      </c>
      <c r="M55" t="s">
        <v>777</v>
      </c>
    </row>
    <row r="56" spans="1:13" hidden="1" x14ac:dyDescent="0.2">
      <c r="A56" t="s">
        <v>506</v>
      </c>
      <c r="B56" t="b">
        <v>1</v>
      </c>
      <c r="C56" t="s">
        <v>364</v>
      </c>
      <c r="D56" t="b">
        <v>0</v>
      </c>
      <c r="E56" t="s">
        <v>365</v>
      </c>
      <c r="F56" t="s">
        <v>366</v>
      </c>
      <c r="G56" t="s">
        <v>367</v>
      </c>
      <c r="K56">
        <v>2023</v>
      </c>
      <c r="L56">
        <v>1</v>
      </c>
      <c r="M56" t="s">
        <v>368</v>
      </c>
    </row>
    <row r="57" spans="1:13" hidden="1" x14ac:dyDescent="0.2">
      <c r="A57" t="s">
        <v>507</v>
      </c>
      <c r="B57" t="b">
        <v>1</v>
      </c>
      <c r="C57" t="s">
        <v>369</v>
      </c>
      <c r="D57" t="b">
        <v>0</v>
      </c>
      <c r="E57" t="s">
        <v>370</v>
      </c>
      <c r="F57" t="s">
        <v>371</v>
      </c>
      <c r="G57" t="s">
        <v>372</v>
      </c>
      <c r="K57">
        <v>2023</v>
      </c>
      <c r="L57">
        <v>4</v>
      </c>
      <c r="M57" t="s">
        <v>373</v>
      </c>
    </row>
    <row r="58" spans="1:13" x14ac:dyDescent="0.2">
      <c r="A58" t="s">
        <v>788</v>
      </c>
      <c r="B58" t="b">
        <v>1</v>
      </c>
      <c r="C58" s="22" t="s">
        <v>695</v>
      </c>
      <c r="D58" t="b">
        <v>1</v>
      </c>
      <c r="E58" t="s">
        <v>696</v>
      </c>
      <c r="F58" t="s">
        <v>11</v>
      </c>
      <c r="G58" t="s">
        <v>11</v>
      </c>
      <c r="H58" t="b">
        <v>1</v>
      </c>
      <c r="I58" t="b">
        <v>1</v>
      </c>
      <c r="K58">
        <v>2023</v>
      </c>
      <c r="M58" t="s">
        <v>697</v>
      </c>
    </row>
    <row r="59" spans="1:13" hidden="1" x14ac:dyDescent="0.2">
      <c r="A59" t="s">
        <v>509</v>
      </c>
      <c r="B59" t="b">
        <v>1</v>
      </c>
      <c r="C59" t="s">
        <v>379</v>
      </c>
      <c r="D59" t="b">
        <v>0</v>
      </c>
      <c r="E59" t="s">
        <v>380</v>
      </c>
      <c r="F59" t="s">
        <v>381</v>
      </c>
      <c r="G59" t="s">
        <v>382</v>
      </c>
      <c r="K59">
        <v>2023</v>
      </c>
      <c r="L59">
        <v>69</v>
      </c>
      <c r="M59" t="s">
        <v>383</v>
      </c>
    </row>
    <row r="60" spans="1:13" hidden="1" x14ac:dyDescent="0.2">
      <c r="A60" t="s">
        <v>510</v>
      </c>
      <c r="B60" t="b">
        <v>1</v>
      </c>
      <c r="C60" t="s">
        <v>384</v>
      </c>
      <c r="D60" t="b">
        <v>0</v>
      </c>
      <c r="E60" t="s">
        <v>385</v>
      </c>
      <c r="F60" t="s">
        <v>386</v>
      </c>
      <c r="G60" t="s">
        <v>387</v>
      </c>
      <c r="K60">
        <v>2023</v>
      </c>
      <c r="L60">
        <v>13</v>
      </c>
      <c r="M60" t="s">
        <v>388</v>
      </c>
    </row>
    <row r="61" spans="1:13" hidden="1" x14ac:dyDescent="0.2">
      <c r="A61" t="s">
        <v>511</v>
      </c>
      <c r="B61" t="b">
        <v>1</v>
      </c>
      <c r="C61" t="s">
        <v>389</v>
      </c>
      <c r="D61" t="b">
        <v>0</v>
      </c>
      <c r="E61" t="s">
        <v>390</v>
      </c>
      <c r="F61" t="s">
        <v>391</v>
      </c>
      <c r="G61" t="s">
        <v>392</v>
      </c>
      <c r="K61">
        <v>2023</v>
      </c>
      <c r="L61">
        <v>11</v>
      </c>
      <c r="M61" t="s">
        <v>393</v>
      </c>
    </row>
    <row r="62" spans="1:13" hidden="1" x14ac:dyDescent="0.2">
      <c r="A62" t="s">
        <v>512</v>
      </c>
      <c r="B62" t="b">
        <v>1</v>
      </c>
      <c r="C62" t="s">
        <v>394</v>
      </c>
      <c r="D62" t="b">
        <v>0</v>
      </c>
      <c r="E62" t="s">
        <v>395</v>
      </c>
      <c r="F62" t="s">
        <v>396</v>
      </c>
      <c r="G62" t="s">
        <v>397</v>
      </c>
      <c r="K62">
        <v>2022</v>
      </c>
      <c r="L62">
        <v>52</v>
      </c>
      <c r="M62" t="s">
        <v>398</v>
      </c>
    </row>
    <row r="63" spans="1:13" hidden="1" x14ac:dyDescent="0.2">
      <c r="A63" t="s">
        <v>513</v>
      </c>
      <c r="B63" t="b">
        <v>1</v>
      </c>
      <c r="C63" t="s">
        <v>399</v>
      </c>
      <c r="D63" t="b">
        <v>0</v>
      </c>
      <c r="E63" t="s">
        <v>400</v>
      </c>
      <c r="F63" t="s">
        <v>401</v>
      </c>
      <c r="G63" t="s">
        <v>402</v>
      </c>
      <c r="K63">
        <v>2022</v>
      </c>
      <c r="L63">
        <v>0</v>
      </c>
      <c r="M63" t="s">
        <v>403</v>
      </c>
    </row>
    <row r="64" spans="1:13" x14ac:dyDescent="0.2">
      <c r="A64" t="s">
        <v>790</v>
      </c>
      <c r="B64" t="b">
        <v>1</v>
      </c>
      <c r="C64" t="s">
        <v>703</v>
      </c>
      <c r="D64" t="b">
        <v>1</v>
      </c>
      <c r="E64" t="s">
        <v>704</v>
      </c>
      <c r="F64" t="s">
        <v>705</v>
      </c>
      <c r="G64" t="s">
        <v>706</v>
      </c>
      <c r="H64" t="b">
        <v>1</v>
      </c>
      <c r="I64" t="b">
        <v>0</v>
      </c>
      <c r="J64" t="s">
        <v>845</v>
      </c>
      <c r="K64">
        <v>2022</v>
      </c>
      <c r="M64" t="s">
        <v>707</v>
      </c>
    </row>
    <row r="65" spans="1:13" hidden="1" x14ac:dyDescent="0.2">
      <c r="A65" t="s">
        <v>515</v>
      </c>
      <c r="B65" t="b">
        <v>1</v>
      </c>
      <c r="C65" t="s">
        <v>409</v>
      </c>
      <c r="D65" t="b">
        <v>0</v>
      </c>
      <c r="E65" t="s">
        <v>410</v>
      </c>
      <c r="F65" t="s">
        <v>411</v>
      </c>
      <c r="G65" t="s">
        <v>412</v>
      </c>
      <c r="K65">
        <v>2022</v>
      </c>
      <c r="L65">
        <v>2</v>
      </c>
      <c r="M65" t="s">
        <v>413</v>
      </c>
    </row>
    <row r="66" spans="1:13" hidden="1" x14ac:dyDescent="0.2">
      <c r="A66" t="s">
        <v>516</v>
      </c>
      <c r="B66" t="b">
        <v>1</v>
      </c>
      <c r="C66" t="s">
        <v>414</v>
      </c>
      <c r="D66" t="b">
        <v>0</v>
      </c>
      <c r="E66" t="s">
        <v>415</v>
      </c>
      <c r="F66" t="s">
        <v>416</v>
      </c>
      <c r="G66" t="s">
        <v>417</v>
      </c>
      <c r="K66">
        <v>2022</v>
      </c>
      <c r="L66">
        <v>5</v>
      </c>
      <c r="M66" t="s">
        <v>418</v>
      </c>
    </row>
    <row r="67" spans="1:13" hidden="1" x14ac:dyDescent="0.2">
      <c r="A67" t="s">
        <v>517</v>
      </c>
      <c r="B67" t="b">
        <v>1</v>
      </c>
      <c r="C67" t="s">
        <v>419</v>
      </c>
      <c r="D67" t="b">
        <v>0</v>
      </c>
      <c r="E67" t="s">
        <v>420</v>
      </c>
      <c r="F67" t="s">
        <v>421</v>
      </c>
      <c r="G67" t="s">
        <v>422</v>
      </c>
      <c r="K67">
        <v>2022</v>
      </c>
      <c r="L67">
        <v>0</v>
      </c>
      <c r="M67" t="s">
        <v>423</v>
      </c>
    </row>
    <row r="68" spans="1:13" hidden="1" x14ac:dyDescent="0.2">
      <c r="A68" t="s">
        <v>518</v>
      </c>
      <c r="B68" t="b">
        <v>1</v>
      </c>
      <c r="C68" t="s">
        <v>424</v>
      </c>
      <c r="D68" t="b">
        <v>0</v>
      </c>
      <c r="E68" t="s">
        <v>425</v>
      </c>
      <c r="F68" t="s">
        <v>426</v>
      </c>
      <c r="G68" t="s">
        <v>427</v>
      </c>
      <c r="K68">
        <v>2022</v>
      </c>
      <c r="L68">
        <v>8</v>
      </c>
      <c r="M68" t="s">
        <v>428</v>
      </c>
    </row>
    <row r="69" spans="1:13" hidden="1" x14ac:dyDescent="0.2">
      <c r="A69" t="s">
        <v>519</v>
      </c>
      <c r="B69" t="b">
        <v>1</v>
      </c>
      <c r="C69" t="s">
        <v>429</v>
      </c>
      <c r="D69" t="b">
        <v>0</v>
      </c>
      <c r="E69" t="s">
        <v>430</v>
      </c>
      <c r="F69" t="s">
        <v>11</v>
      </c>
      <c r="G69" t="s">
        <v>431</v>
      </c>
      <c r="K69">
        <v>2022</v>
      </c>
      <c r="L69">
        <v>6</v>
      </c>
      <c r="M69" t="s">
        <v>432</v>
      </c>
    </row>
    <row r="70" spans="1:13" x14ac:dyDescent="0.2">
      <c r="A70" t="s">
        <v>514</v>
      </c>
      <c r="B70" t="b">
        <v>1</v>
      </c>
      <c r="C70" t="s">
        <v>404</v>
      </c>
      <c r="D70" t="b">
        <v>1</v>
      </c>
      <c r="E70" t="s">
        <v>405</v>
      </c>
      <c r="F70" t="s">
        <v>406</v>
      </c>
      <c r="G70" t="s">
        <v>407</v>
      </c>
      <c r="H70" t="b">
        <v>1</v>
      </c>
      <c r="I70" t="b">
        <v>0</v>
      </c>
      <c r="J70" t="s">
        <v>865</v>
      </c>
      <c r="K70">
        <v>2022</v>
      </c>
      <c r="L70">
        <v>2</v>
      </c>
      <c r="M70" t="s">
        <v>408</v>
      </c>
    </row>
    <row r="71" spans="1:13" hidden="1" x14ac:dyDescent="0.2">
      <c r="A71" t="s">
        <v>521</v>
      </c>
      <c r="B71" t="b">
        <v>1</v>
      </c>
      <c r="C71" t="s">
        <v>438</v>
      </c>
      <c r="D71" t="b">
        <v>0</v>
      </c>
      <c r="E71" t="s">
        <v>439</v>
      </c>
      <c r="F71" t="s">
        <v>440</v>
      </c>
      <c r="G71" t="s">
        <v>441</v>
      </c>
      <c r="K71">
        <v>2021</v>
      </c>
      <c r="L71">
        <v>0</v>
      </c>
      <c r="M71" t="s">
        <v>442</v>
      </c>
    </row>
    <row r="72" spans="1:13" hidden="1" x14ac:dyDescent="0.2">
      <c r="A72" t="s">
        <v>522</v>
      </c>
      <c r="B72" t="b">
        <v>1</v>
      </c>
      <c r="C72" t="s">
        <v>443</v>
      </c>
      <c r="D72" t="b">
        <v>0</v>
      </c>
      <c r="E72" t="s">
        <v>444</v>
      </c>
      <c r="F72" t="s">
        <v>445</v>
      </c>
      <c r="G72" t="s">
        <v>446</v>
      </c>
      <c r="K72">
        <v>2020</v>
      </c>
      <c r="L72">
        <v>4</v>
      </c>
      <c r="M72" t="s">
        <v>447</v>
      </c>
    </row>
    <row r="73" spans="1:13" hidden="1" x14ac:dyDescent="0.2">
      <c r="A73" t="s">
        <v>523</v>
      </c>
      <c r="B73" t="b">
        <v>1</v>
      </c>
      <c r="C73" t="s">
        <v>448</v>
      </c>
      <c r="D73" t="b">
        <v>0</v>
      </c>
      <c r="E73" t="s">
        <v>449</v>
      </c>
      <c r="F73" t="s">
        <v>11</v>
      </c>
      <c r="G73" t="s">
        <v>450</v>
      </c>
      <c r="K73">
        <v>2020</v>
      </c>
      <c r="L73">
        <v>35</v>
      </c>
      <c r="M73" t="s">
        <v>451</v>
      </c>
    </row>
    <row r="74" spans="1:13" hidden="1" x14ac:dyDescent="0.2">
      <c r="A74" t="s">
        <v>646</v>
      </c>
      <c r="B74" t="b">
        <v>1</v>
      </c>
      <c r="C74" t="s">
        <v>534</v>
      </c>
      <c r="D74" t="b">
        <v>0</v>
      </c>
      <c r="E74" t="s">
        <v>535</v>
      </c>
      <c r="F74" t="s">
        <v>11</v>
      </c>
      <c r="G74" t="s">
        <v>536</v>
      </c>
      <c r="K74">
        <v>2025</v>
      </c>
      <c r="L74">
        <v>2</v>
      </c>
      <c r="M74" t="str">
        <f>HYPERLINK("http://dx.doi.org/10.1016/j.jval.2025.04.2157","http://dx.doi.org/10.1016/j.jval.2025.04.2157")</f>
        <v>http://dx.doi.org/10.1016/j.jval.2025.04.2157</v>
      </c>
    </row>
    <row r="75" spans="1:13" hidden="1" x14ac:dyDescent="0.2">
      <c r="A75" t="s">
        <v>666</v>
      </c>
      <c r="B75" t="b">
        <v>1</v>
      </c>
      <c r="C75" t="s">
        <v>577</v>
      </c>
      <c r="D75" t="b">
        <v>0</v>
      </c>
      <c r="E75" t="s">
        <v>578</v>
      </c>
      <c r="F75" t="s">
        <v>11</v>
      </c>
      <c r="G75" t="s">
        <v>579</v>
      </c>
      <c r="K75">
        <v>2025</v>
      </c>
      <c r="L75">
        <v>1</v>
      </c>
      <c r="M75" t="str">
        <f>HYPERLINK("http://dx.doi.org/10.1162/coli_a_00540","http://dx.doi.org/10.1162/coli_a_00540")</f>
        <v>http://dx.doi.org/10.1162/coli_a_00540</v>
      </c>
    </row>
    <row r="76" spans="1:13" hidden="1" x14ac:dyDescent="0.2">
      <c r="A76" t="s">
        <v>671</v>
      </c>
      <c r="B76" t="b">
        <v>1</v>
      </c>
      <c r="C76" t="s">
        <v>588</v>
      </c>
      <c r="D76" t="b">
        <v>0</v>
      </c>
      <c r="E76" t="s">
        <v>589</v>
      </c>
      <c r="F76" t="s">
        <v>11</v>
      </c>
      <c r="G76" t="s">
        <v>590</v>
      </c>
      <c r="K76">
        <v>1995</v>
      </c>
      <c r="L76">
        <v>18</v>
      </c>
      <c r="M76" t="str">
        <f>HYPERLINK("http://dx.doi.org/10.1016/0022-1694(94)02625-L","http://dx.doi.org/10.1016/0022-1694(94)02625-L")</f>
        <v>http://dx.doi.org/10.1016/0022-1694(94)02625-L</v>
      </c>
    </row>
    <row r="77" spans="1:13" hidden="1" x14ac:dyDescent="0.2">
      <c r="A77" t="s">
        <v>679</v>
      </c>
      <c r="B77" t="b">
        <v>1</v>
      </c>
      <c r="C77" t="s">
        <v>606</v>
      </c>
      <c r="D77" t="b">
        <v>0</v>
      </c>
      <c r="E77" t="s">
        <v>607</v>
      </c>
      <c r="F77" t="s">
        <v>11</v>
      </c>
      <c r="G77" t="s">
        <v>608</v>
      </c>
      <c r="K77">
        <v>2017</v>
      </c>
      <c r="L77">
        <v>0</v>
      </c>
      <c r="M77" t="str">
        <f>HYPERLINK("http://dx.doi.org/10.1117/12.2254496","http://dx.doi.org/10.1117/12.2254496")</f>
        <v>http://dx.doi.org/10.1117/12.2254496</v>
      </c>
    </row>
    <row r="78" spans="1:13" hidden="1" x14ac:dyDescent="0.2">
      <c r="A78" t="s">
        <v>681</v>
      </c>
      <c r="B78" t="b">
        <v>1</v>
      </c>
      <c r="C78" t="s">
        <v>611</v>
      </c>
      <c r="D78" t="b">
        <v>0</v>
      </c>
      <c r="E78" t="s">
        <v>612</v>
      </c>
      <c r="F78" t="s">
        <v>11</v>
      </c>
      <c r="G78" t="s">
        <v>613</v>
      </c>
      <c r="K78">
        <v>2017</v>
      </c>
      <c r="L78">
        <v>14</v>
      </c>
      <c r="M78" t="str">
        <f>HYPERLINK("http://dx.doi.org/10.4338/ACI-2017-03-RA0042","http://dx.doi.org/10.4338/ACI-2017-03-RA0042")</f>
        <v>http://dx.doi.org/10.4338/ACI-2017-03-RA0042</v>
      </c>
    </row>
    <row r="79" spans="1:13" x14ac:dyDescent="0.2">
      <c r="A79" t="s">
        <v>520</v>
      </c>
      <c r="B79" t="b">
        <v>1</v>
      </c>
      <c r="C79" t="s">
        <v>433</v>
      </c>
      <c r="D79" t="b">
        <v>1</v>
      </c>
      <c r="E79" t="s">
        <v>434</v>
      </c>
      <c r="F79" t="s">
        <v>435</v>
      </c>
      <c r="G79" t="s">
        <v>436</v>
      </c>
      <c r="H79" t="b">
        <v>1</v>
      </c>
      <c r="I79" t="b">
        <v>0</v>
      </c>
      <c r="J79" t="s">
        <v>845</v>
      </c>
      <c r="K79">
        <v>2021</v>
      </c>
      <c r="L79">
        <v>118</v>
      </c>
      <c r="M79" t="s">
        <v>437</v>
      </c>
    </row>
    <row r="80" spans="1:13" hidden="1" x14ac:dyDescent="0.2">
      <c r="A80" t="s">
        <v>685</v>
      </c>
      <c r="B80" t="b">
        <v>1</v>
      </c>
      <c r="C80" t="s">
        <v>621</v>
      </c>
      <c r="D80" t="b">
        <v>0</v>
      </c>
      <c r="E80" t="s">
        <v>622</v>
      </c>
      <c r="F80" t="s">
        <v>11</v>
      </c>
      <c r="G80" t="s">
        <v>623</v>
      </c>
      <c r="K80">
        <v>2024</v>
      </c>
      <c r="L80">
        <v>4</v>
      </c>
      <c r="M80" t="str">
        <f>HYPERLINK("http://dx.doi.org/10.1145/3652988.3673967","http://dx.doi.org/10.1145/3652988.3673967")</f>
        <v>http://dx.doi.org/10.1145/3652988.3673967</v>
      </c>
    </row>
    <row r="81" spans="1:13" hidden="1" x14ac:dyDescent="0.2">
      <c r="A81" t="s">
        <v>687</v>
      </c>
      <c r="B81" t="b">
        <v>1</v>
      </c>
      <c r="C81" t="s">
        <v>627</v>
      </c>
      <c r="D81" t="b">
        <v>0</v>
      </c>
      <c r="E81" t="s">
        <v>628</v>
      </c>
      <c r="F81" t="s">
        <v>11</v>
      </c>
      <c r="G81" t="s">
        <v>629</v>
      </c>
      <c r="K81">
        <v>2026</v>
      </c>
      <c r="L81">
        <v>0</v>
      </c>
      <c r="M81" t="str">
        <f>HYPERLINK("http://dx.doi.org/10.1016/j.ipm.2025.104505","http://dx.doi.org/10.1016/j.ipm.2025.104505")</f>
        <v>http://dx.doi.org/10.1016/j.ipm.2025.104505</v>
      </c>
    </row>
    <row r="82" spans="1:13" hidden="1" x14ac:dyDescent="0.2">
      <c r="A82" t="s">
        <v>689</v>
      </c>
      <c r="B82" t="b">
        <v>1</v>
      </c>
      <c r="C82" t="s">
        <v>632</v>
      </c>
      <c r="D82" t="b">
        <v>0</v>
      </c>
      <c r="E82" t="s">
        <v>633</v>
      </c>
      <c r="F82" t="s">
        <v>11</v>
      </c>
      <c r="G82" t="s">
        <v>634</v>
      </c>
      <c r="K82">
        <v>2018</v>
      </c>
      <c r="L82">
        <v>140</v>
      </c>
      <c r="M82" t="str">
        <f>HYPERLINK("http://dx.doi.org/10.1093/ije/dyy120","http://dx.doi.org/10.1093/ije/dyy120")</f>
        <v>http://dx.doi.org/10.1093/ije/dyy120</v>
      </c>
    </row>
    <row r="83" spans="1:13" hidden="1" x14ac:dyDescent="0.2">
      <c r="A83" t="s">
        <v>692</v>
      </c>
      <c r="B83" t="b">
        <v>1</v>
      </c>
      <c r="C83" t="s">
        <v>639</v>
      </c>
      <c r="D83" t="b">
        <v>0</v>
      </c>
      <c r="E83" t="s">
        <v>640</v>
      </c>
      <c r="F83" t="s">
        <v>11</v>
      </c>
      <c r="G83" t="s">
        <v>641</v>
      </c>
      <c r="K83">
        <v>2018</v>
      </c>
      <c r="L83">
        <v>3</v>
      </c>
      <c r="M83" t="str">
        <f>HYPERLINK("http://dx.doi.org/10.1088/1361-6560/aad316","http://dx.doi.org/10.1088/1361-6560/aad316")</f>
        <v>http://dx.doi.org/10.1088/1361-6560/aad316</v>
      </c>
    </row>
    <row r="84" spans="1:13" x14ac:dyDescent="0.2">
      <c r="A84" t="s">
        <v>467</v>
      </c>
      <c r="B84" t="b">
        <v>1</v>
      </c>
      <c r="C84" s="22" t="s">
        <v>176</v>
      </c>
      <c r="D84" t="b">
        <v>1</v>
      </c>
      <c r="E84" t="s">
        <v>177</v>
      </c>
      <c r="F84" t="s">
        <v>178</v>
      </c>
      <c r="G84" t="s">
        <v>179</v>
      </c>
      <c r="H84" t="b">
        <v>1</v>
      </c>
      <c r="I84" t="b">
        <v>1</v>
      </c>
      <c r="K84">
        <v>2025</v>
      </c>
      <c r="L84">
        <v>35</v>
      </c>
      <c r="M84" t="s">
        <v>180</v>
      </c>
    </row>
    <row r="85" spans="1:13" x14ac:dyDescent="0.2">
      <c r="A85" t="s">
        <v>817</v>
      </c>
      <c r="B85" t="b">
        <v>1</v>
      </c>
      <c r="C85" s="22" t="s">
        <v>826</v>
      </c>
      <c r="D85" t="b">
        <v>1</v>
      </c>
      <c r="E85" t="s">
        <v>827</v>
      </c>
      <c r="H85" t="b">
        <v>1</v>
      </c>
      <c r="I85" t="b">
        <v>1</v>
      </c>
      <c r="K85">
        <v>2023</v>
      </c>
      <c r="M85" s="31" t="s">
        <v>828</v>
      </c>
    </row>
    <row r="86" spans="1:13" x14ac:dyDescent="0.2">
      <c r="A86" t="s">
        <v>814</v>
      </c>
      <c r="B86" t="b">
        <v>1</v>
      </c>
      <c r="C86" s="22" t="s">
        <v>811</v>
      </c>
      <c r="D86" t="b">
        <v>1</v>
      </c>
      <c r="E86" t="s">
        <v>812</v>
      </c>
      <c r="G86" t="s">
        <v>36</v>
      </c>
      <c r="H86" t="b">
        <v>1</v>
      </c>
      <c r="I86" t="b">
        <v>1</v>
      </c>
      <c r="K86">
        <v>2018</v>
      </c>
      <c r="M86" s="31" t="s">
        <v>813</v>
      </c>
    </row>
    <row r="87" spans="1:13" x14ac:dyDescent="0.2">
      <c r="A87" t="s">
        <v>829</v>
      </c>
      <c r="B87" t="b">
        <v>1</v>
      </c>
      <c r="C87" s="22" t="s">
        <v>830</v>
      </c>
      <c r="D87" t="b">
        <v>1</v>
      </c>
      <c r="E87" t="s">
        <v>831</v>
      </c>
      <c r="G87" t="s">
        <v>832</v>
      </c>
      <c r="H87" t="b">
        <v>1</v>
      </c>
      <c r="I87" t="b">
        <v>1</v>
      </c>
      <c r="K87">
        <v>2022</v>
      </c>
      <c r="M87" s="31" t="s">
        <v>833</v>
      </c>
    </row>
    <row r="88" spans="1:13" x14ac:dyDescent="0.2">
      <c r="A88" t="s">
        <v>799</v>
      </c>
      <c r="B88" t="b">
        <v>1</v>
      </c>
      <c r="C88" t="s">
        <v>751</v>
      </c>
      <c r="D88" t="b">
        <v>1</v>
      </c>
      <c r="E88" t="s">
        <v>752</v>
      </c>
      <c r="F88" t="s">
        <v>753</v>
      </c>
      <c r="G88" t="s">
        <v>754</v>
      </c>
      <c r="H88" t="b">
        <v>1</v>
      </c>
      <c r="I88" t="b">
        <v>0</v>
      </c>
      <c r="J88" t="s">
        <v>845</v>
      </c>
      <c r="K88">
        <v>2022</v>
      </c>
      <c r="M88" t="s">
        <v>755</v>
      </c>
    </row>
    <row r="89" spans="1:13" x14ac:dyDescent="0.2">
      <c r="A89" t="s">
        <v>478</v>
      </c>
      <c r="B89" t="b">
        <v>1</v>
      </c>
      <c r="C89" s="22" t="s">
        <v>230</v>
      </c>
      <c r="D89" t="b">
        <v>1</v>
      </c>
      <c r="E89" t="s">
        <v>231</v>
      </c>
      <c r="F89" t="s">
        <v>232</v>
      </c>
      <c r="G89" t="s">
        <v>233</v>
      </c>
      <c r="H89" t="b">
        <v>1</v>
      </c>
      <c r="I89" t="b">
        <v>1</v>
      </c>
      <c r="K89">
        <v>2025</v>
      </c>
      <c r="L89">
        <v>0</v>
      </c>
      <c r="M89" t="s">
        <v>234</v>
      </c>
    </row>
    <row r="90" spans="1:13" x14ac:dyDescent="0.2">
      <c r="A90" t="s">
        <v>794</v>
      </c>
      <c r="B90" t="b">
        <v>1</v>
      </c>
      <c r="C90" t="s">
        <v>722</v>
      </c>
      <c r="D90" t="b">
        <v>1</v>
      </c>
      <c r="E90" t="s">
        <v>723</v>
      </c>
      <c r="F90" t="s">
        <v>724</v>
      </c>
      <c r="G90" t="s">
        <v>725</v>
      </c>
      <c r="H90" t="b">
        <v>1</v>
      </c>
      <c r="I90" t="b">
        <v>0</v>
      </c>
      <c r="J90" t="s">
        <v>845</v>
      </c>
      <c r="K90">
        <v>2024</v>
      </c>
      <c r="M90" t="s">
        <v>726</v>
      </c>
    </row>
    <row r="91" spans="1:13" x14ac:dyDescent="0.2">
      <c r="A91" t="s">
        <v>469</v>
      </c>
      <c r="B91" t="b">
        <v>1</v>
      </c>
      <c r="C91" s="22" t="s">
        <v>186</v>
      </c>
      <c r="D91" t="b">
        <v>1</v>
      </c>
      <c r="E91" t="s">
        <v>187</v>
      </c>
      <c r="F91" t="s">
        <v>188</v>
      </c>
      <c r="G91" t="s">
        <v>189</v>
      </c>
      <c r="H91" t="b">
        <v>1</v>
      </c>
      <c r="I91" t="b">
        <v>1</v>
      </c>
      <c r="K91">
        <v>2025</v>
      </c>
      <c r="L91">
        <v>17</v>
      </c>
      <c r="M91" t="s">
        <v>190</v>
      </c>
    </row>
    <row r="92" spans="1:13" x14ac:dyDescent="0.2">
      <c r="A92" t="s">
        <v>796</v>
      </c>
      <c r="B92" t="b">
        <v>1</v>
      </c>
      <c r="C92" t="s">
        <v>735</v>
      </c>
      <c r="D92" t="b">
        <v>1</v>
      </c>
      <c r="E92" t="s">
        <v>736</v>
      </c>
      <c r="F92" t="s">
        <v>737</v>
      </c>
      <c r="G92" t="s">
        <v>738</v>
      </c>
      <c r="H92" t="b">
        <v>1</v>
      </c>
      <c r="I92" t="b">
        <v>0</v>
      </c>
      <c r="J92" t="s">
        <v>873</v>
      </c>
      <c r="K92">
        <v>2024</v>
      </c>
      <c r="M92" t="s">
        <v>739</v>
      </c>
    </row>
    <row r="93" spans="1:13" x14ac:dyDescent="0.2">
      <c r="A93" t="s">
        <v>798</v>
      </c>
      <c r="B93" t="b">
        <v>1</v>
      </c>
      <c r="C93" s="22" t="s">
        <v>746</v>
      </c>
      <c r="D93" t="b">
        <v>1</v>
      </c>
      <c r="E93" t="s">
        <v>747</v>
      </c>
      <c r="F93" t="s">
        <v>748</v>
      </c>
      <c r="G93" t="s">
        <v>749</v>
      </c>
      <c r="H93" t="b">
        <v>1</v>
      </c>
      <c r="I93" t="b">
        <v>1</v>
      </c>
      <c r="K93">
        <v>2023</v>
      </c>
      <c r="M93" t="s">
        <v>750</v>
      </c>
    </row>
    <row r="94" spans="1:13" x14ac:dyDescent="0.2">
      <c r="A94" t="s">
        <v>505</v>
      </c>
      <c r="B94" t="b">
        <v>1</v>
      </c>
      <c r="C94" s="22" t="s">
        <v>359</v>
      </c>
      <c r="D94" t="b">
        <v>1</v>
      </c>
      <c r="E94" t="s">
        <v>360</v>
      </c>
      <c r="F94" t="s">
        <v>361</v>
      </c>
      <c r="G94" t="s">
        <v>362</v>
      </c>
      <c r="H94" t="b">
        <v>1</v>
      </c>
      <c r="I94" t="b">
        <v>1</v>
      </c>
      <c r="K94">
        <v>2023</v>
      </c>
      <c r="L94">
        <v>12</v>
      </c>
      <c r="M94" t="s">
        <v>363</v>
      </c>
    </row>
    <row r="95" spans="1:13" hidden="1" x14ac:dyDescent="0.2">
      <c r="A95" t="s">
        <v>461</v>
      </c>
      <c r="B95" t="b">
        <v>1</v>
      </c>
      <c r="C95" s="32" t="s">
        <v>147</v>
      </c>
      <c r="D95" t="b">
        <v>1</v>
      </c>
      <c r="E95" t="s">
        <v>148</v>
      </c>
      <c r="F95" t="s">
        <v>149</v>
      </c>
      <c r="G95" t="s">
        <v>150</v>
      </c>
      <c r="H95" t="b">
        <v>0</v>
      </c>
      <c r="I95" t="b">
        <v>0</v>
      </c>
      <c r="K95">
        <v>2025</v>
      </c>
      <c r="L95">
        <v>2</v>
      </c>
      <c r="M95" t="s">
        <v>151</v>
      </c>
    </row>
    <row r="96" spans="1:13" x14ac:dyDescent="0.2">
      <c r="A96" t="s">
        <v>455</v>
      </c>
      <c r="B96" t="b">
        <v>1</v>
      </c>
      <c r="C96" s="22" t="s">
        <v>119</v>
      </c>
      <c r="D96" t="b">
        <v>1</v>
      </c>
      <c r="E96" t="s">
        <v>120</v>
      </c>
      <c r="F96" t="s">
        <v>11</v>
      </c>
      <c r="G96" t="s">
        <v>121</v>
      </c>
      <c r="H96" t="b">
        <v>1</v>
      </c>
      <c r="I96" t="b">
        <v>1</v>
      </c>
      <c r="K96">
        <v>2025</v>
      </c>
      <c r="L96">
        <v>1</v>
      </c>
      <c r="M96" t="s">
        <v>122</v>
      </c>
    </row>
    <row r="97" spans="1:13" x14ac:dyDescent="0.2">
      <c r="A97" t="s">
        <v>816</v>
      </c>
      <c r="B97" t="b">
        <v>1</v>
      </c>
      <c r="C97" s="22" t="s">
        <v>823</v>
      </c>
      <c r="D97" t="b">
        <v>1</v>
      </c>
      <c r="E97" t="s">
        <v>822</v>
      </c>
      <c r="G97" t="s">
        <v>824</v>
      </c>
      <c r="H97" t="b">
        <v>1</v>
      </c>
      <c r="I97" t="b">
        <v>1</v>
      </c>
      <c r="K97">
        <v>2023</v>
      </c>
      <c r="M97" s="31" t="s">
        <v>825</v>
      </c>
    </row>
    <row r="98" spans="1:13" x14ac:dyDescent="0.2">
      <c r="A98" t="s">
        <v>797</v>
      </c>
      <c r="B98" t="b">
        <v>1</v>
      </c>
      <c r="C98" s="22" t="s">
        <v>743</v>
      </c>
      <c r="D98" t="b">
        <v>1</v>
      </c>
      <c r="E98" t="s">
        <v>744</v>
      </c>
      <c r="F98" t="s">
        <v>11</v>
      </c>
      <c r="G98" t="s">
        <v>11</v>
      </c>
      <c r="H98" t="b">
        <v>1</v>
      </c>
      <c r="I98" t="b">
        <v>1</v>
      </c>
      <c r="K98">
        <v>2023</v>
      </c>
      <c r="M98" t="s">
        <v>745</v>
      </c>
    </row>
    <row r="99" spans="1:13" x14ac:dyDescent="0.2">
      <c r="A99" t="s">
        <v>472</v>
      </c>
      <c r="B99" t="b">
        <v>1</v>
      </c>
      <c r="C99" t="s">
        <v>834</v>
      </c>
      <c r="D99" t="b">
        <v>1</v>
      </c>
      <c r="E99" t="s">
        <v>202</v>
      </c>
      <c r="F99" t="s">
        <v>203</v>
      </c>
      <c r="G99" t="s">
        <v>204</v>
      </c>
      <c r="H99" t="b">
        <v>1</v>
      </c>
      <c r="I99" t="b">
        <v>0</v>
      </c>
      <c r="J99" t="s">
        <v>845</v>
      </c>
      <c r="K99">
        <v>2025</v>
      </c>
      <c r="L99">
        <v>8</v>
      </c>
      <c r="M99" t="s">
        <v>205</v>
      </c>
    </row>
    <row r="100" spans="1:13" x14ac:dyDescent="0.2">
      <c r="A100" t="s">
        <v>492</v>
      </c>
      <c r="B100" t="b">
        <v>1</v>
      </c>
      <c r="C100" s="22" t="s">
        <v>17</v>
      </c>
      <c r="D100" t="b">
        <v>1</v>
      </c>
      <c r="E100" t="s">
        <v>299</v>
      </c>
      <c r="F100" t="s">
        <v>19</v>
      </c>
      <c r="G100" t="s">
        <v>18</v>
      </c>
      <c r="H100" t="b">
        <v>1</v>
      </c>
      <c r="I100" t="b">
        <v>1</v>
      </c>
      <c r="K100">
        <v>2024</v>
      </c>
      <c r="L100">
        <v>0</v>
      </c>
      <c r="M100" t="s">
        <v>300</v>
      </c>
    </row>
    <row r="101" spans="1:13" x14ac:dyDescent="0.2">
      <c r="A101" t="s">
        <v>792</v>
      </c>
      <c r="B101" t="b">
        <v>1</v>
      </c>
      <c r="C101" s="22" t="s">
        <v>713</v>
      </c>
      <c r="D101" t="b">
        <v>1</v>
      </c>
      <c r="E101" t="s">
        <v>714</v>
      </c>
      <c r="F101" t="s">
        <v>11</v>
      </c>
      <c r="G101" t="s">
        <v>715</v>
      </c>
      <c r="H101" t="b">
        <v>1</v>
      </c>
      <c r="I101" t="b">
        <v>1</v>
      </c>
      <c r="K101">
        <v>2024</v>
      </c>
      <c r="M101" t="s">
        <v>716</v>
      </c>
    </row>
    <row r="102" spans="1:13" x14ac:dyDescent="0.2">
      <c r="A102" t="s">
        <v>463</v>
      </c>
      <c r="B102" t="b">
        <v>1</v>
      </c>
      <c r="C102" s="22" t="s">
        <v>157</v>
      </c>
      <c r="D102" t="b">
        <v>1</v>
      </c>
      <c r="E102" t="s">
        <v>158</v>
      </c>
      <c r="F102" t="s">
        <v>159</v>
      </c>
      <c r="G102" t="s">
        <v>160</v>
      </c>
      <c r="H102" t="b">
        <v>1</v>
      </c>
      <c r="I102" t="b">
        <v>1</v>
      </c>
      <c r="K102">
        <v>2025</v>
      </c>
      <c r="L102">
        <v>0</v>
      </c>
      <c r="M102" t="s">
        <v>161</v>
      </c>
    </row>
    <row r="103" spans="1:13" x14ac:dyDescent="0.2">
      <c r="A103" t="s">
        <v>495</v>
      </c>
      <c r="B103" t="b">
        <v>1</v>
      </c>
      <c r="C103" t="s">
        <v>310</v>
      </c>
      <c r="D103" t="b">
        <v>1</v>
      </c>
      <c r="E103" t="s">
        <v>311</v>
      </c>
      <c r="F103" t="s">
        <v>312</v>
      </c>
      <c r="G103" t="s">
        <v>313</v>
      </c>
      <c r="H103" t="b">
        <v>1</v>
      </c>
      <c r="I103" t="b">
        <v>0</v>
      </c>
      <c r="J103" t="s">
        <v>845</v>
      </c>
      <c r="K103">
        <v>2024</v>
      </c>
      <c r="L103">
        <v>0</v>
      </c>
      <c r="M103" t="s">
        <v>314</v>
      </c>
    </row>
    <row r="104" spans="1:13" x14ac:dyDescent="0.2">
      <c r="A104" t="s">
        <v>470</v>
      </c>
      <c r="B104" t="b">
        <v>1</v>
      </c>
      <c r="C104" t="s">
        <v>191</v>
      </c>
      <c r="D104" t="b">
        <v>1</v>
      </c>
      <c r="E104" t="s">
        <v>192</v>
      </c>
      <c r="F104" t="s">
        <v>193</v>
      </c>
      <c r="G104" t="s">
        <v>194</v>
      </c>
      <c r="H104" t="b">
        <v>1</v>
      </c>
      <c r="I104" t="b">
        <v>0</v>
      </c>
      <c r="J104" t="s">
        <v>891</v>
      </c>
      <c r="K104">
        <v>2025</v>
      </c>
      <c r="L104">
        <v>1</v>
      </c>
      <c r="M104" t="s">
        <v>195</v>
      </c>
    </row>
    <row r="105" spans="1:13" x14ac:dyDescent="0.2">
      <c r="A105" t="s">
        <v>488</v>
      </c>
      <c r="B105" t="b">
        <v>1</v>
      </c>
      <c r="C105" s="32" t="s">
        <v>279</v>
      </c>
      <c r="D105" t="b">
        <v>1</v>
      </c>
      <c r="E105" t="s">
        <v>280</v>
      </c>
      <c r="F105" t="s">
        <v>281</v>
      </c>
      <c r="G105" t="s">
        <v>282</v>
      </c>
      <c r="H105" t="b">
        <v>1</v>
      </c>
      <c r="I105" t="b">
        <v>1</v>
      </c>
      <c r="K105">
        <v>2025</v>
      </c>
      <c r="L105">
        <v>2</v>
      </c>
      <c r="M105" t="s">
        <v>283</v>
      </c>
    </row>
  </sheetData>
  <conditionalFormatting sqref="E84:E100 C2:C83">
    <cfRule type="duplicateValues" dxfId="1" priority="160"/>
  </conditionalFormatting>
  <conditionalFormatting sqref="E101:E105 C1:C100 C106:C1048576">
    <cfRule type="duplicateValues" dxfId="0" priority="1"/>
  </conditionalFormatting>
  <hyperlinks>
    <hyperlink ref="M86" r:id="rId1" xr:uid="{3477EB82-1DC0-274C-AA87-CA7596A75032}"/>
    <hyperlink ref="M28" r:id="rId2" xr:uid="{A52F448D-7553-5549-80D7-C6F8C0AFBF1B}"/>
    <hyperlink ref="M97" r:id="rId3" xr:uid="{0F5166D6-71C2-9147-B0CD-923840C0D1A3}"/>
    <hyperlink ref="M87" r:id="rId4" xr:uid="{729F45D3-2382-8B46-A1BD-8313AB79C3EC}"/>
  </hyperlinks>
  <pageMargins left="0.7" right="0.7" top="0.75" bottom="0.75" header="0.3" footer="0.3"/>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5FCD-C2F6-4C5A-AD11-22F1539DC806}">
  <sheetPr codeName="Sheet3"/>
  <dimension ref="A1:H2"/>
  <sheetViews>
    <sheetView workbookViewId="0">
      <selection activeCell="A2" sqref="A2:XFD2"/>
    </sheetView>
  </sheetViews>
  <sheetFormatPr baseColWidth="10" defaultColWidth="8.83203125" defaultRowHeight="15" x14ac:dyDescent="0.2"/>
  <cols>
    <col min="2" max="2" width="60.6640625" customWidth="1"/>
    <col min="3" max="3" width="17.5" customWidth="1"/>
    <col min="4" max="4" width="20.5" customWidth="1"/>
    <col min="5" max="5" width="49.5" customWidth="1"/>
    <col min="6" max="6" width="19.1640625" customWidth="1"/>
    <col min="7" max="7" width="20" customWidth="1"/>
    <col min="8" max="8" width="44.33203125" customWidth="1"/>
  </cols>
  <sheetData>
    <row r="1" spans="1:8" x14ac:dyDescent="0.2">
      <c r="A1" s="9" t="s">
        <v>15</v>
      </c>
      <c r="B1" s="10" t="s">
        <v>9</v>
      </c>
      <c r="C1" s="10" t="s">
        <v>8</v>
      </c>
      <c r="D1" s="10" t="s">
        <v>10</v>
      </c>
      <c r="E1" s="10" t="s">
        <v>12</v>
      </c>
      <c r="F1" s="11" t="s">
        <v>13</v>
      </c>
      <c r="G1" s="11" t="s">
        <v>14</v>
      </c>
      <c r="H1" s="12" t="s">
        <v>16</v>
      </c>
    </row>
    <row r="2" spans="1:8" ht="16" x14ac:dyDescent="0.2">
      <c r="B2" s="16"/>
      <c r="C2" s="16"/>
      <c r="D2" s="13"/>
      <c r="E2" s="16"/>
      <c r="H2" s="1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1F1D-B39C-45C8-BF59-673F47096417}">
  <sheetPr codeName="Sheet4"/>
  <dimension ref="A1:H1"/>
  <sheetViews>
    <sheetView workbookViewId="0">
      <selection activeCell="B15" sqref="B15"/>
    </sheetView>
  </sheetViews>
  <sheetFormatPr baseColWidth="10" defaultColWidth="8.83203125" defaultRowHeight="15" x14ac:dyDescent="0.2"/>
  <cols>
    <col min="2" max="2" width="46.5" customWidth="1"/>
    <col min="3" max="3" width="20.6640625" customWidth="1"/>
    <col min="4" max="4" width="19.83203125" customWidth="1"/>
    <col min="5" max="5" width="103.33203125" customWidth="1"/>
    <col min="6" max="6" width="18.6640625" customWidth="1"/>
    <col min="7" max="7" width="19.5" customWidth="1"/>
    <col min="8" max="8" width="31" customWidth="1"/>
  </cols>
  <sheetData>
    <row r="1" spans="1:8" x14ac:dyDescent="0.2">
      <c r="A1" s="9" t="s">
        <v>15</v>
      </c>
      <c r="B1" s="10" t="s">
        <v>9</v>
      </c>
      <c r="C1" s="10" t="s">
        <v>8</v>
      </c>
      <c r="D1" s="10" t="s">
        <v>10</v>
      </c>
      <c r="E1" s="10" t="s">
        <v>12</v>
      </c>
      <c r="F1" s="11" t="s">
        <v>13</v>
      </c>
      <c r="G1" s="11" t="s">
        <v>14</v>
      </c>
      <c r="H1" s="12" t="s">
        <v>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CE87-53D1-4D8E-8054-2A13E5189CE7}">
  <sheetPr codeName="Sheet5"/>
  <dimension ref="A1:H73"/>
  <sheetViews>
    <sheetView topLeftCell="B1" workbookViewId="0">
      <selection activeCell="G2" sqref="G2:G73"/>
    </sheetView>
  </sheetViews>
  <sheetFormatPr baseColWidth="10" defaultColWidth="8.83203125" defaultRowHeight="15" x14ac:dyDescent="0.2"/>
  <cols>
    <col min="1" max="1" width="14" customWidth="1"/>
    <col min="2" max="2" width="75.83203125" customWidth="1"/>
    <col min="3" max="3" width="25.6640625" customWidth="1"/>
    <col min="4" max="4" width="25.83203125" customWidth="1"/>
    <col min="5" max="5" width="75" customWidth="1"/>
    <col min="6" max="6" width="23.83203125" customWidth="1"/>
    <col min="7" max="7" width="19.83203125" customWidth="1"/>
    <col min="8" max="8" width="47.33203125" customWidth="1"/>
  </cols>
  <sheetData>
    <row r="1" spans="1:8" x14ac:dyDescent="0.2">
      <c r="A1" s="9" t="s">
        <v>15</v>
      </c>
      <c r="B1" s="10" t="s">
        <v>9</v>
      </c>
      <c r="C1" s="10" t="s">
        <v>8</v>
      </c>
      <c r="D1" s="10" t="s">
        <v>10</v>
      </c>
      <c r="E1" s="10" t="s">
        <v>12</v>
      </c>
      <c r="F1" s="11" t="s">
        <v>13</v>
      </c>
      <c r="G1" s="11" t="s">
        <v>14</v>
      </c>
      <c r="H1" s="12" t="s">
        <v>16</v>
      </c>
    </row>
    <row r="2" spans="1:8" x14ac:dyDescent="0.2">
      <c r="A2" t="s">
        <v>452</v>
      </c>
      <c r="B2" t="s">
        <v>104</v>
      </c>
      <c r="C2" t="s">
        <v>105</v>
      </c>
      <c r="D2" t="s">
        <v>106</v>
      </c>
      <c r="E2" t="s">
        <v>107</v>
      </c>
      <c r="F2">
        <v>2026</v>
      </c>
      <c r="G2">
        <v>0</v>
      </c>
      <c r="H2" t="s">
        <v>108</v>
      </c>
    </row>
    <row r="3" spans="1:8" x14ac:dyDescent="0.2">
      <c r="A3" t="s">
        <v>453</v>
      </c>
      <c r="B3" t="s">
        <v>109</v>
      </c>
      <c r="C3" t="s">
        <v>110</v>
      </c>
      <c r="D3" t="s">
        <v>111</v>
      </c>
      <c r="E3" t="s">
        <v>112</v>
      </c>
      <c r="F3">
        <v>2026</v>
      </c>
      <c r="G3">
        <v>0</v>
      </c>
      <c r="H3" t="s">
        <v>113</v>
      </c>
    </row>
    <row r="4" spans="1:8" x14ac:dyDescent="0.2">
      <c r="A4" t="s">
        <v>454</v>
      </c>
      <c r="B4" t="s">
        <v>114</v>
      </c>
      <c r="C4" t="s">
        <v>115</v>
      </c>
      <c r="D4" t="s">
        <v>116</v>
      </c>
      <c r="E4" t="s">
        <v>117</v>
      </c>
      <c r="F4">
        <v>2025</v>
      </c>
      <c r="G4">
        <v>0</v>
      </c>
      <c r="H4" t="s">
        <v>118</v>
      </c>
    </row>
    <row r="5" spans="1:8" x14ac:dyDescent="0.2">
      <c r="A5" t="s">
        <v>455</v>
      </c>
      <c r="B5" t="s">
        <v>119</v>
      </c>
      <c r="C5" t="s">
        <v>120</v>
      </c>
      <c r="D5" t="s">
        <v>11</v>
      </c>
      <c r="E5" t="s">
        <v>121</v>
      </c>
      <c r="F5">
        <v>2025</v>
      </c>
      <c r="G5">
        <v>1</v>
      </c>
      <c r="H5" t="s">
        <v>122</v>
      </c>
    </row>
    <row r="6" spans="1:8" x14ac:dyDescent="0.2">
      <c r="A6" t="s">
        <v>456</v>
      </c>
      <c r="B6" t="s">
        <v>123</v>
      </c>
      <c r="C6" t="s">
        <v>124</v>
      </c>
      <c r="D6" t="s">
        <v>11</v>
      </c>
      <c r="E6" t="s">
        <v>125</v>
      </c>
      <c r="F6">
        <v>2025</v>
      </c>
      <c r="G6">
        <v>0</v>
      </c>
      <c r="H6" t="s">
        <v>126</v>
      </c>
    </row>
    <row r="7" spans="1:8" x14ac:dyDescent="0.2">
      <c r="A7" t="s">
        <v>457</v>
      </c>
      <c r="B7" t="s">
        <v>127</v>
      </c>
      <c r="C7" t="s">
        <v>128</v>
      </c>
      <c r="D7" t="s">
        <v>129</v>
      </c>
      <c r="E7" t="s">
        <v>130</v>
      </c>
      <c r="F7">
        <v>2025</v>
      </c>
      <c r="G7">
        <v>0</v>
      </c>
      <c r="H7" t="s">
        <v>131</v>
      </c>
    </row>
    <row r="8" spans="1:8" x14ac:dyDescent="0.2">
      <c r="A8" t="s">
        <v>458</v>
      </c>
      <c r="B8" t="s">
        <v>132</v>
      </c>
      <c r="C8" t="s">
        <v>133</v>
      </c>
      <c r="D8" t="s">
        <v>134</v>
      </c>
      <c r="E8" t="s">
        <v>135</v>
      </c>
      <c r="F8">
        <v>2025</v>
      </c>
      <c r="G8">
        <v>0</v>
      </c>
      <c r="H8" t="s">
        <v>136</v>
      </c>
    </row>
    <row r="9" spans="1:8" x14ac:dyDescent="0.2">
      <c r="A9" t="s">
        <v>459</v>
      </c>
      <c r="B9" t="s">
        <v>137</v>
      </c>
      <c r="C9" t="s">
        <v>138</v>
      </c>
      <c r="D9" t="s">
        <v>139</v>
      </c>
      <c r="E9" t="s">
        <v>140</v>
      </c>
      <c r="F9">
        <v>2025</v>
      </c>
      <c r="G9">
        <v>0</v>
      </c>
      <c r="H9" t="s">
        <v>141</v>
      </c>
    </row>
    <row r="10" spans="1:8" x14ac:dyDescent="0.2">
      <c r="A10" t="s">
        <v>460</v>
      </c>
      <c r="B10" t="s">
        <v>142</v>
      </c>
      <c r="C10" t="s">
        <v>143</v>
      </c>
      <c r="D10" t="s">
        <v>144</v>
      </c>
      <c r="E10" t="s">
        <v>145</v>
      </c>
      <c r="F10">
        <v>2025</v>
      </c>
      <c r="G10">
        <v>0</v>
      </c>
      <c r="H10" t="s">
        <v>146</v>
      </c>
    </row>
    <row r="11" spans="1:8" x14ac:dyDescent="0.2">
      <c r="A11" t="s">
        <v>461</v>
      </c>
      <c r="B11" t="s">
        <v>147</v>
      </c>
      <c r="C11" t="s">
        <v>148</v>
      </c>
      <c r="D11" t="s">
        <v>149</v>
      </c>
      <c r="E11" t="s">
        <v>150</v>
      </c>
      <c r="F11">
        <v>2025</v>
      </c>
      <c r="G11">
        <v>2</v>
      </c>
      <c r="H11" t="s">
        <v>151</v>
      </c>
    </row>
    <row r="12" spans="1:8" x14ac:dyDescent="0.2">
      <c r="A12" t="s">
        <v>462</v>
      </c>
      <c r="B12" t="s">
        <v>152</v>
      </c>
      <c r="C12" t="s">
        <v>153</v>
      </c>
      <c r="D12" t="s">
        <v>154</v>
      </c>
      <c r="E12" t="s">
        <v>155</v>
      </c>
      <c r="F12">
        <v>2025</v>
      </c>
      <c r="G12">
        <v>0</v>
      </c>
      <c r="H12" t="s">
        <v>156</v>
      </c>
    </row>
    <row r="13" spans="1:8" x14ac:dyDescent="0.2">
      <c r="A13" t="s">
        <v>463</v>
      </c>
      <c r="B13" t="s">
        <v>157</v>
      </c>
      <c r="C13" t="s">
        <v>158</v>
      </c>
      <c r="D13" t="s">
        <v>159</v>
      </c>
      <c r="E13" t="s">
        <v>160</v>
      </c>
      <c r="F13">
        <v>2025</v>
      </c>
      <c r="G13">
        <v>0</v>
      </c>
      <c r="H13" t="s">
        <v>161</v>
      </c>
    </row>
    <row r="14" spans="1:8" x14ac:dyDescent="0.2">
      <c r="A14" t="s">
        <v>464</v>
      </c>
      <c r="B14" t="s">
        <v>162</v>
      </c>
      <c r="C14" t="s">
        <v>163</v>
      </c>
      <c r="D14" t="s">
        <v>164</v>
      </c>
      <c r="E14" t="s">
        <v>165</v>
      </c>
      <c r="F14">
        <v>2025</v>
      </c>
      <c r="G14">
        <v>0</v>
      </c>
      <c r="H14" t="s">
        <v>166</v>
      </c>
    </row>
    <row r="15" spans="1:8" x14ac:dyDescent="0.2">
      <c r="A15" t="s">
        <v>465</v>
      </c>
      <c r="B15" t="s">
        <v>167</v>
      </c>
      <c r="C15" t="s">
        <v>168</v>
      </c>
      <c r="D15" t="s">
        <v>169</v>
      </c>
      <c r="E15" t="s">
        <v>170</v>
      </c>
      <c r="F15">
        <v>2025</v>
      </c>
      <c r="G15">
        <v>0</v>
      </c>
      <c r="H15" t="s">
        <v>171</v>
      </c>
    </row>
    <row r="16" spans="1:8" x14ac:dyDescent="0.2">
      <c r="A16" t="s">
        <v>466</v>
      </c>
      <c r="B16" t="s">
        <v>172</v>
      </c>
      <c r="C16" t="s">
        <v>173</v>
      </c>
      <c r="D16" t="s">
        <v>11</v>
      </c>
      <c r="E16" t="s">
        <v>174</v>
      </c>
      <c r="F16">
        <v>2025</v>
      </c>
      <c r="G16">
        <v>0</v>
      </c>
      <c r="H16" t="s">
        <v>175</v>
      </c>
    </row>
    <row r="17" spans="1:8" x14ac:dyDescent="0.2">
      <c r="A17" t="s">
        <v>467</v>
      </c>
      <c r="B17" t="s">
        <v>176</v>
      </c>
      <c r="C17" t="s">
        <v>177</v>
      </c>
      <c r="D17" t="s">
        <v>178</v>
      </c>
      <c r="E17" t="s">
        <v>179</v>
      </c>
      <c r="F17">
        <v>2025</v>
      </c>
      <c r="G17">
        <v>35</v>
      </c>
      <c r="H17" t="s">
        <v>180</v>
      </c>
    </row>
    <row r="18" spans="1:8" x14ac:dyDescent="0.2">
      <c r="A18" t="s">
        <v>468</v>
      </c>
      <c r="B18" t="s">
        <v>181</v>
      </c>
      <c r="C18" t="s">
        <v>182</v>
      </c>
      <c r="D18" t="s">
        <v>183</v>
      </c>
      <c r="E18" t="s">
        <v>184</v>
      </c>
      <c r="F18">
        <v>2025</v>
      </c>
      <c r="G18">
        <v>2</v>
      </c>
      <c r="H18" t="s">
        <v>185</v>
      </c>
    </row>
    <row r="19" spans="1:8" x14ac:dyDescent="0.2">
      <c r="A19" t="s">
        <v>469</v>
      </c>
      <c r="B19" t="s">
        <v>186</v>
      </c>
      <c r="C19" t="s">
        <v>187</v>
      </c>
      <c r="D19" t="s">
        <v>188</v>
      </c>
      <c r="E19" t="s">
        <v>189</v>
      </c>
      <c r="F19">
        <v>2025</v>
      </c>
      <c r="G19">
        <v>17</v>
      </c>
      <c r="H19" t="s">
        <v>190</v>
      </c>
    </row>
    <row r="20" spans="1:8" x14ac:dyDescent="0.2">
      <c r="A20" t="s">
        <v>470</v>
      </c>
      <c r="B20" t="s">
        <v>191</v>
      </c>
      <c r="C20" t="s">
        <v>192</v>
      </c>
      <c r="D20" t="s">
        <v>193</v>
      </c>
      <c r="E20" t="s">
        <v>194</v>
      </c>
      <c r="F20">
        <v>2025</v>
      </c>
      <c r="G20">
        <v>1</v>
      </c>
      <c r="H20" t="s">
        <v>195</v>
      </c>
    </row>
    <row r="21" spans="1:8" x14ac:dyDescent="0.2">
      <c r="A21" t="s">
        <v>471</v>
      </c>
      <c r="B21" t="s">
        <v>196</v>
      </c>
      <c r="C21" t="s">
        <v>197</v>
      </c>
      <c r="D21" t="s">
        <v>198</v>
      </c>
      <c r="E21" t="s">
        <v>199</v>
      </c>
      <c r="F21">
        <v>2025</v>
      </c>
      <c r="G21">
        <v>1</v>
      </c>
      <c r="H21" t="s">
        <v>200</v>
      </c>
    </row>
    <row r="22" spans="1:8" x14ac:dyDescent="0.2">
      <c r="A22" t="s">
        <v>472</v>
      </c>
      <c r="B22" t="s">
        <v>201</v>
      </c>
      <c r="C22" t="s">
        <v>202</v>
      </c>
      <c r="D22" t="s">
        <v>203</v>
      </c>
      <c r="E22" t="s">
        <v>204</v>
      </c>
      <c r="F22">
        <v>2025</v>
      </c>
      <c r="G22">
        <v>8</v>
      </c>
      <c r="H22" t="s">
        <v>205</v>
      </c>
    </row>
    <row r="23" spans="1:8" x14ac:dyDescent="0.2">
      <c r="A23" t="s">
        <v>473</v>
      </c>
      <c r="B23" t="s">
        <v>206</v>
      </c>
      <c r="C23" t="s">
        <v>207</v>
      </c>
      <c r="D23" t="s">
        <v>208</v>
      </c>
      <c r="E23" t="s">
        <v>209</v>
      </c>
      <c r="F23">
        <v>2025</v>
      </c>
      <c r="G23">
        <v>7</v>
      </c>
      <c r="H23" t="s">
        <v>210</v>
      </c>
    </row>
    <row r="24" spans="1:8" x14ac:dyDescent="0.2">
      <c r="A24" t="s">
        <v>474</v>
      </c>
      <c r="B24" t="s">
        <v>211</v>
      </c>
      <c r="C24" t="s">
        <v>212</v>
      </c>
      <c r="D24" t="s">
        <v>213</v>
      </c>
      <c r="E24" t="s">
        <v>214</v>
      </c>
      <c r="F24">
        <v>2025</v>
      </c>
      <c r="G24">
        <v>0</v>
      </c>
      <c r="H24" t="s">
        <v>215</v>
      </c>
    </row>
    <row r="25" spans="1:8" x14ac:dyDescent="0.2">
      <c r="A25" t="s">
        <v>475</v>
      </c>
      <c r="B25" t="s">
        <v>216</v>
      </c>
      <c r="C25" t="s">
        <v>217</v>
      </c>
      <c r="D25" t="s">
        <v>218</v>
      </c>
      <c r="E25" t="s">
        <v>219</v>
      </c>
      <c r="F25">
        <v>2025</v>
      </c>
      <c r="G25">
        <v>0</v>
      </c>
      <c r="H25" t="s">
        <v>220</v>
      </c>
    </row>
    <row r="26" spans="1:8" x14ac:dyDescent="0.2">
      <c r="A26" t="s">
        <v>476</v>
      </c>
      <c r="B26" t="s">
        <v>221</v>
      </c>
      <c r="C26" t="s">
        <v>222</v>
      </c>
      <c r="D26" t="s">
        <v>223</v>
      </c>
      <c r="E26" t="s">
        <v>224</v>
      </c>
      <c r="F26">
        <v>2025</v>
      </c>
      <c r="G26">
        <v>0</v>
      </c>
      <c r="H26" t="s">
        <v>225</v>
      </c>
    </row>
    <row r="27" spans="1:8" x14ac:dyDescent="0.2">
      <c r="A27" t="s">
        <v>477</v>
      </c>
      <c r="B27" t="s">
        <v>226</v>
      </c>
      <c r="C27" t="s">
        <v>227</v>
      </c>
      <c r="D27" t="s">
        <v>11</v>
      </c>
      <c r="E27" t="s">
        <v>228</v>
      </c>
      <c r="F27">
        <v>2025</v>
      </c>
      <c r="G27">
        <v>0</v>
      </c>
      <c r="H27" t="s">
        <v>229</v>
      </c>
    </row>
    <row r="28" spans="1:8" x14ac:dyDescent="0.2">
      <c r="A28" t="s">
        <v>478</v>
      </c>
      <c r="B28" t="s">
        <v>230</v>
      </c>
      <c r="C28" t="s">
        <v>231</v>
      </c>
      <c r="D28" t="s">
        <v>232</v>
      </c>
      <c r="E28" t="s">
        <v>233</v>
      </c>
      <c r="F28">
        <v>2025</v>
      </c>
      <c r="G28">
        <v>0</v>
      </c>
      <c r="H28" t="s">
        <v>234</v>
      </c>
    </row>
    <row r="29" spans="1:8" x14ac:dyDescent="0.2">
      <c r="A29" t="s">
        <v>479</v>
      </c>
      <c r="B29" t="s">
        <v>235</v>
      </c>
      <c r="C29" t="s">
        <v>236</v>
      </c>
      <c r="D29" t="s">
        <v>11</v>
      </c>
      <c r="E29" t="s">
        <v>237</v>
      </c>
      <c r="F29">
        <v>2025</v>
      </c>
      <c r="G29">
        <v>4</v>
      </c>
      <c r="H29" t="s">
        <v>238</v>
      </c>
    </row>
    <row r="30" spans="1:8" x14ac:dyDescent="0.2">
      <c r="A30" t="s">
        <v>480</v>
      </c>
      <c r="B30" t="s">
        <v>239</v>
      </c>
      <c r="C30" t="s">
        <v>240</v>
      </c>
      <c r="D30" t="s">
        <v>241</v>
      </c>
      <c r="E30" t="s">
        <v>242</v>
      </c>
      <c r="F30">
        <v>2025</v>
      </c>
      <c r="G30">
        <v>2</v>
      </c>
      <c r="H30" t="s">
        <v>243</v>
      </c>
    </row>
    <row r="31" spans="1:8" x14ac:dyDescent="0.2">
      <c r="A31" t="s">
        <v>481</v>
      </c>
      <c r="B31" t="s">
        <v>244</v>
      </c>
      <c r="C31" t="s">
        <v>245</v>
      </c>
      <c r="D31" t="s">
        <v>246</v>
      </c>
      <c r="E31" t="s">
        <v>247</v>
      </c>
      <c r="F31">
        <v>2025</v>
      </c>
      <c r="G31">
        <v>2</v>
      </c>
      <c r="H31" t="s">
        <v>248</v>
      </c>
    </row>
    <row r="32" spans="1:8" x14ac:dyDescent="0.2">
      <c r="A32" t="s">
        <v>482</v>
      </c>
      <c r="B32" t="s">
        <v>249</v>
      </c>
      <c r="C32" t="s">
        <v>250</v>
      </c>
      <c r="D32" t="s">
        <v>251</v>
      </c>
      <c r="E32" t="s">
        <v>252</v>
      </c>
      <c r="F32">
        <v>2025</v>
      </c>
      <c r="G32">
        <v>2</v>
      </c>
      <c r="H32" t="s">
        <v>253</v>
      </c>
    </row>
    <row r="33" spans="1:8" x14ac:dyDescent="0.2">
      <c r="A33" t="s">
        <v>483</v>
      </c>
      <c r="B33" t="s">
        <v>254</v>
      </c>
      <c r="C33" t="s">
        <v>255</v>
      </c>
      <c r="D33" t="s">
        <v>256</v>
      </c>
      <c r="E33" t="s">
        <v>257</v>
      </c>
      <c r="F33">
        <v>2025</v>
      </c>
      <c r="G33">
        <v>20</v>
      </c>
      <c r="H33" t="s">
        <v>258</v>
      </c>
    </row>
    <row r="34" spans="1:8" x14ac:dyDescent="0.2">
      <c r="A34" t="s">
        <v>484</v>
      </c>
      <c r="B34" t="s">
        <v>259</v>
      </c>
      <c r="C34" t="s">
        <v>260</v>
      </c>
      <c r="D34" t="s">
        <v>261</v>
      </c>
      <c r="E34" t="s">
        <v>262</v>
      </c>
      <c r="F34">
        <v>2025</v>
      </c>
      <c r="G34">
        <v>0</v>
      </c>
      <c r="H34" t="s">
        <v>263</v>
      </c>
    </row>
    <row r="35" spans="1:8" x14ac:dyDescent="0.2">
      <c r="A35" t="s">
        <v>485</v>
      </c>
      <c r="B35" t="s">
        <v>264</v>
      </c>
      <c r="C35" t="s">
        <v>265</v>
      </c>
      <c r="D35" t="s">
        <v>266</v>
      </c>
      <c r="E35" t="s">
        <v>267</v>
      </c>
      <c r="F35">
        <v>2025</v>
      </c>
      <c r="G35">
        <v>5</v>
      </c>
      <c r="H35" t="s">
        <v>268</v>
      </c>
    </row>
    <row r="36" spans="1:8" x14ac:dyDescent="0.2">
      <c r="A36" t="s">
        <v>486</v>
      </c>
      <c r="B36" t="s">
        <v>269</v>
      </c>
      <c r="C36" t="s">
        <v>270</v>
      </c>
      <c r="D36" t="s">
        <v>271</v>
      </c>
      <c r="E36" t="s">
        <v>272</v>
      </c>
      <c r="F36">
        <v>2025</v>
      </c>
      <c r="G36">
        <v>4</v>
      </c>
      <c r="H36" t="s">
        <v>273</v>
      </c>
    </row>
    <row r="37" spans="1:8" x14ac:dyDescent="0.2">
      <c r="A37" t="s">
        <v>487</v>
      </c>
      <c r="B37" t="s">
        <v>274</v>
      </c>
      <c r="C37" t="s">
        <v>275</v>
      </c>
      <c r="D37" t="s">
        <v>276</v>
      </c>
      <c r="E37" t="s">
        <v>277</v>
      </c>
      <c r="F37">
        <v>2025</v>
      </c>
      <c r="G37">
        <v>1</v>
      </c>
      <c r="H37" t="s">
        <v>278</v>
      </c>
    </row>
    <row r="38" spans="1:8" x14ac:dyDescent="0.2">
      <c r="A38" t="s">
        <v>488</v>
      </c>
      <c r="B38" t="s">
        <v>279</v>
      </c>
      <c r="C38" t="s">
        <v>280</v>
      </c>
      <c r="D38" t="s">
        <v>281</v>
      </c>
      <c r="E38" t="s">
        <v>282</v>
      </c>
      <c r="F38">
        <v>2025</v>
      </c>
      <c r="G38">
        <v>2</v>
      </c>
      <c r="H38" t="s">
        <v>283</v>
      </c>
    </row>
    <row r="39" spans="1:8" x14ac:dyDescent="0.2">
      <c r="A39" t="s">
        <v>489</v>
      </c>
      <c r="B39" t="s">
        <v>284</v>
      </c>
      <c r="C39" t="s">
        <v>285</v>
      </c>
      <c r="D39" t="s">
        <v>286</v>
      </c>
      <c r="E39" t="s">
        <v>287</v>
      </c>
      <c r="F39">
        <v>2024</v>
      </c>
      <c r="G39">
        <v>5</v>
      </c>
      <c r="H39" t="s">
        <v>288</v>
      </c>
    </row>
    <row r="40" spans="1:8" x14ac:dyDescent="0.2">
      <c r="A40" t="s">
        <v>490</v>
      </c>
      <c r="B40" t="s">
        <v>289</v>
      </c>
      <c r="C40" t="s">
        <v>290</v>
      </c>
      <c r="D40" t="s">
        <v>291</v>
      </c>
      <c r="E40" t="s">
        <v>292</v>
      </c>
      <c r="F40">
        <v>2024</v>
      </c>
      <c r="G40">
        <v>6</v>
      </c>
      <c r="H40" t="s">
        <v>293</v>
      </c>
    </row>
    <row r="41" spans="1:8" x14ac:dyDescent="0.2">
      <c r="A41" t="s">
        <v>491</v>
      </c>
      <c r="B41" t="s">
        <v>294</v>
      </c>
      <c r="C41" t="s">
        <v>295</v>
      </c>
      <c r="D41" t="s">
        <v>296</v>
      </c>
      <c r="E41" t="s">
        <v>297</v>
      </c>
      <c r="F41">
        <v>2024</v>
      </c>
      <c r="G41">
        <v>32</v>
      </c>
      <c r="H41" t="s">
        <v>298</v>
      </c>
    </row>
    <row r="42" spans="1:8" x14ac:dyDescent="0.2">
      <c r="A42" t="s">
        <v>492</v>
      </c>
      <c r="B42" t="s">
        <v>17</v>
      </c>
      <c r="C42" t="s">
        <v>299</v>
      </c>
      <c r="D42" t="s">
        <v>19</v>
      </c>
      <c r="E42" t="s">
        <v>18</v>
      </c>
      <c r="F42">
        <v>2024</v>
      </c>
      <c r="G42">
        <v>0</v>
      </c>
      <c r="H42" t="s">
        <v>300</v>
      </c>
    </row>
    <row r="43" spans="1:8" x14ac:dyDescent="0.2">
      <c r="A43" t="s">
        <v>493</v>
      </c>
      <c r="B43" t="s">
        <v>301</v>
      </c>
      <c r="C43" t="s">
        <v>302</v>
      </c>
      <c r="D43" t="s">
        <v>11</v>
      </c>
      <c r="E43" t="s">
        <v>303</v>
      </c>
      <c r="F43">
        <v>2024</v>
      </c>
      <c r="G43">
        <v>10</v>
      </c>
      <c r="H43" t="s">
        <v>304</v>
      </c>
    </row>
    <row r="44" spans="1:8" x14ac:dyDescent="0.2">
      <c r="A44" t="s">
        <v>494</v>
      </c>
      <c r="B44" t="s">
        <v>305</v>
      </c>
      <c r="C44" t="s">
        <v>306</v>
      </c>
      <c r="D44" t="s">
        <v>307</v>
      </c>
      <c r="E44" t="s">
        <v>308</v>
      </c>
      <c r="F44">
        <v>2024</v>
      </c>
      <c r="G44">
        <v>0</v>
      </c>
      <c r="H44" t="s">
        <v>309</v>
      </c>
    </row>
    <row r="45" spans="1:8" x14ac:dyDescent="0.2">
      <c r="A45" t="s">
        <v>495</v>
      </c>
      <c r="B45" t="s">
        <v>310</v>
      </c>
      <c r="C45" t="s">
        <v>311</v>
      </c>
      <c r="D45" t="s">
        <v>312</v>
      </c>
      <c r="E45" t="s">
        <v>313</v>
      </c>
      <c r="F45">
        <v>2024</v>
      </c>
      <c r="G45">
        <v>0</v>
      </c>
      <c r="H45" t="s">
        <v>314</v>
      </c>
    </row>
    <row r="46" spans="1:8" x14ac:dyDescent="0.2">
      <c r="A46" t="s">
        <v>496</v>
      </c>
      <c r="B46" t="s">
        <v>315</v>
      </c>
      <c r="C46" t="s">
        <v>316</v>
      </c>
      <c r="D46" t="s">
        <v>317</v>
      </c>
      <c r="E46" t="s">
        <v>318</v>
      </c>
      <c r="F46">
        <v>2024</v>
      </c>
      <c r="G46">
        <v>0</v>
      </c>
      <c r="H46" t="s">
        <v>319</v>
      </c>
    </row>
    <row r="47" spans="1:8" x14ac:dyDescent="0.2">
      <c r="A47" t="s">
        <v>497</v>
      </c>
      <c r="B47" t="s">
        <v>320</v>
      </c>
      <c r="C47" t="s">
        <v>321</v>
      </c>
      <c r="D47" t="s">
        <v>322</v>
      </c>
      <c r="E47" t="s">
        <v>323</v>
      </c>
      <c r="F47">
        <v>2024</v>
      </c>
      <c r="G47">
        <v>0</v>
      </c>
      <c r="H47" t="s">
        <v>324</v>
      </c>
    </row>
    <row r="48" spans="1:8" x14ac:dyDescent="0.2">
      <c r="A48" t="s">
        <v>498</v>
      </c>
      <c r="B48" t="s">
        <v>325</v>
      </c>
      <c r="C48" t="s">
        <v>326</v>
      </c>
      <c r="D48" t="s">
        <v>327</v>
      </c>
      <c r="E48" t="s">
        <v>328</v>
      </c>
      <c r="F48">
        <v>2024</v>
      </c>
      <c r="G48">
        <v>9</v>
      </c>
      <c r="H48" t="s">
        <v>329</v>
      </c>
    </row>
    <row r="49" spans="1:8" x14ac:dyDescent="0.2">
      <c r="A49" t="s">
        <v>499</v>
      </c>
      <c r="B49" t="s">
        <v>330</v>
      </c>
      <c r="C49" t="s">
        <v>331</v>
      </c>
      <c r="D49" t="s">
        <v>332</v>
      </c>
      <c r="E49" t="s">
        <v>333</v>
      </c>
      <c r="F49">
        <v>2024</v>
      </c>
      <c r="G49">
        <v>2</v>
      </c>
      <c r="H49" t="s">
        <v>334</v>
      </c>
    </row>
    <row r="50" spans="1:8" x14ac:dyDescent="0.2">
      <c r="A50" t="s">
        <v>500</v>
      </c>
      <c r="B50" t="s">
        <v>335</v>
      </c>
      <c r="C50" t="s">
        <v>336</v>
      </c>
      <c r="D50" t="s">
        <v>337</v>
      </c>
      <c r="E50" t="s">
        <v>338</v>
      </c>
      <c r="F50">
        <v>2024</v>
      </c>
      <c r="G50">
        <v>0</v>
      </c>
      <c r="H50" t="s">
        <v>339</v>
      </c>
    </row>
    <row r="51" spans="1:8" x14ac:dyDescent="0.2">
      <c r="A51" t="s">
        <v>501</v>
      </c>
      <c r="B51" t="s">
        <v>340</v>
      </c>
      <c r="C51" t="s">
        <v>341</v>
      </c>
      <c r="D51" t="s">
        <v>342</v>
      </c>
      <c r="E51" t="s">
        <v>343</v>
      </c>
      <c r="F51">
        <v>2023</v>
      </c>
      <c r="G51">
        <v>4</v>
      </c>
      <c r="H51" t="s">
        <v>344</v>
      </c>
    </row>
    <row r="52" spans="1:8" x14ac:dyDescent="0.2">
      <c r="A52" t="s">
        <v>502</v>
      </c>
      <c r="B52" t="s">
        <v>345</v>
      </c>
      <c r="C52" t="s">
        <v>346</v>
      </c>
      <c r="D52" t="s">
        <v>11</v>
      </c>
      <c r="E52" t="s">
        <v>347</v>
      </c>
      <c r="F52">
        <v>2023</v>
      </c>
      <c r="G52">
        <v>3</v>
      </c>
      <c r="H52" t="s">
        <v>348</v>
      </c>
    </row>
    <row r="53" spans="1:8" x14ac:dyDescent="0.2">
      <c r="A53" t="s">
        <v>503</v>
      </c>
      <c r="B53" t="s">
        <v>349</v>
      </c>
      <c r="C53" t="s">
        <v>350</v>
      </c>
      <c r="D53" t="s">
        <v>351</v>
      </c>
      <c r="E53" t="s">
        <v>352</v>
      </c>
      <c r="F53">
        <v>2023</v>
      </c>
      <c r="G53">
        <v>0</v>
      </c>
      <c r="H53" t="s">
        <v>353</v>
      </c>
    </row>
    <row r="54" spans="1:8" x14ac:dyDescent="0.2">
      <c r="A54" t="s">
        <v>504</v>
      </c>
      <c r="B54" t="s">
        <v>354</v>
      </c>
      <c r="C54" t="s">
        <v>355</v>
      </c>
      <c r="D54" t="s">
        <v>356</v>
      </c>
      <c r="E54" t="s">
        <v>357</v>
      </c>
      <c r="F54">
        <v>2023</v>
      </c>
      <c r="G54">
        <v>0</v>
      </c>
      <c r="H54" t="s">
        <v>358</v>
      </c>
    </row>
    <row r="55" spans="1:8" x14ac:dyDescent="0.2">
      <c r="A55" t="s">
        <v>505</v>
      </c>
      <c r="B55" t="s">
        <v>359</v>
      </c>
      <c r="C55" t="s">
        <v>360</v>
      </c>
      <c r="D55" t="s">
        <v>361</v>
      </c>
      <c r="E55" t="s">
        <v>362</v>
      </c>
      <c r="F55">
        <v>2023</v>
      </c>
      <c r="G55">
        <v>12</v>
      </c>
      <c r="H55" t="s">
        <v>363</v>
      </c>
    </row>
    <row r="56" spans="1:8" x14ac:dyDescent="0.2">
      <c r="A56" t="s">
        <v>506</v>
      </c>
      <c r="B56" t="s">
        <v>364</v>
      </c>
      <c r="C56" t="s">
        <v>365</v>
      </c>
      <c r="D56" t="s">
        <v>366</v>
      </c>
      <c r="E56" t="s">
        <v>367</v>
      </c>
      <c r="F56">
        <v>2023</v>
      </c>
      <c r="G56">
        <v>1</v>
      </c>
      <c r="H56" t="s">
        <v>368</v>
      </c>
    </row>
    <row r="57" spans="1:8" x14ac:dyDescent="0.2">
      <c r="A57" t="s">
        <v>507</v>
      </c>
      <c r="B57" t="s">
        <v>369</v>
      </c>
      <c r="C57" t="s">
        <v>370</v>
      </c>
      <c r="D57" t="s">
        <v>371</v>
      </c>
      <c r="E57" t="s">
        <v>372</v>
      </c>
      <c r="F57">
        <v>2023</v>
      </c>
      <c r="G57">
        <v>4</v>
      </c>
      <c r="H57" t="s">
        <v>373</v>
      </c>
    </row>
    <row r="58" spans="1:8" x14ac:dyDescent="0.2">
      <c r="A58" t="s">
        <v>508</v>
      </c>
      <c r="B58" t="s">
        <v>374</v>
      </c>
      <c r="C58" t="s">
        <v>375</v>
      </c>
      <c r="D58" t="s">
        <v>376</v>
      </c>
      <c r="E58" t="s">
        <v>377</v>
      </c>
      <c r="F58">
        <v>2023</v>
      </c>
      <c r="G58">
        <v>0</v>
      </c>
      <c r="H58" t="s">
        <v>378</v>
      </c>
    </row>
    <row r="59" spans="1:8" x14ac:dyDescent="0.2">
      <c r="A59" t="s">
        <v>509</v>
      </c>
      <c r="B59" t="s">
        <v>379</v>
      </c>
      <c r="C59" t="s">
        <v>380</v>
      </c>
      <c r="D59" t="s">
        <v>381</v>
      </c>
      <c r="E59" t="s">
        <v>382</v>
      </c>
      <c r="F59">
        <v>2023</v>
      </c>
      <c r="G59">
        <v>69</v>
      </c>
      <c r="H59" t="s">
        <v>383</v>
      </c>
    </row>
    <row r="60" spans="1:8" x14ac:dyDescent="0.2">
      <c r="A60" t="s">
        <v>510</v>
      </c>
      <c r="B60" t="s">
        <v>384</v>
      </c>
      <c r="C60" t="s">
        <v>385</v>
      </c>
      <c r="D60" t="s">
        <v>386</v>
      </c>
      <c r="E60" t="s">
        <v>387</v>
      </c>
      <c r="F60">
        <v>2023</v>
      </c>
      <c r="G60">
        <v>13</v>
      </c>
      <c r="H60" t="s">
        <v>388</v>
      </c>
    </row>
    <row r="61" spans="1:8" x14ac:dyDescent="0.2">
      <c r="A61" t="s">
        <v>511</v>
      </c>
      <c r="B61" t="s">
        <v>389</v>
      </c>
      <c r="C61" t="s">
        <v>390</v>
      </c>
      <c r="D61" t="s">
        <v>391</v>
      </c>
      <c r="E61" t="s">
        <v>392</v>
      </c>
      <c r="F61">
        <v>2023</v>
      </c>
      <c r="G61">
        <v>11</v>
      </c>
      <c r="H61" t="s">
        <v>393</v>
      </c>
    </row>
    <row r="62" spans="1:8" x14ac:dyDescent="0.2">
      <c r="A62" t="s">
        <v>512</v>
      </c>
      <c r="B62" t="s">
        <v>394</v>
      </c>
      <c r="C62" t="s">
        <v>395</v>
      </c>
      <c r="D62" t="s">
        <v>396</v>
      </c>
      <c r="E62" t="s">
        <v>397</v>
      </c>
      <c r="F62">
        <v>2022</v>
      </c>
      <c r="G62">
        <v>52</v>
      </c>
      <c r="H62" t="s">
        <v>398</v>
      </c>
    </row>
    <row r="63" spans="1:8" x14ac:dyDescent="0.2">
      <c r="A63" t="s">
        <v>513</v>
      </c>
      <c r="B63" t="s">
        <v>399</v>
      </c>
      <c r="C63" t="s">
        <v>400</v>
      </c>
      <c r="D63" t="s">
        <v>401</v>
      </c>
      <c r="E63" t="s">
        <v>402</v>
      </c>
      <c r="F63">
        <v>2022</v>
      </c>
      <c r="G63">
        <v>0</v>
      </c>
      <c r="H63" t="s">
        <v>403</v>
      </c>
    </row>
    <row r="64" spans="1:8" x14ac:dyDescent="0.2">
      <c r="A64" t="s">
        <v>514</v>
      </c>
      <c r="B64" t="s">
        <v>404</v>
      </c>
      <c r="C64" t="s">
        <v>405</v>
      </c>
      <c r="D64" t="s">
        <v>406</v>
      </c>
      <c r="E64" t="s">
        <v>407</v>
      </c>
      <c r="F64">
        <v>2022</v>
      </c>
      <c r="G64">
        <v>2</v>
      </c>
      <c r="H64" t="s">
        <v>408</v>
      </c>
    </row>
    <row r="65" spans="1:8" x14ac:dyDescent="0.2">
      <c r="A65" t="s">
        <v>515</v>
      </c>
      <c r="B65" t="s">
        <v>409</v>
      </c>
      <c r="C65" t="s">
        <v>410</v>
      </c>
      <c r="D65" t="s">
        <v>411</v>
      </c>
      <c r="E65" t="s">
        <v>412</v>
      </c>
      <c r="F65">
        <v>2022</v>
      </c>
      <c r="G65">
        <v>2</v>
      </c>
      <c r="H65" t="s">
        <v>413</v>
      </c>
    </row>
    <row r="66" spans="1:8" x14ac:dyDescent="0.2">
      <c r="A66" t="s">
        <v>516</v>
      </c>
      <c r="B66" t="s">
        <v>414</v>
      </c>
      <c r="C66" t="s">
        <v>415</v>
      </c>
      <c r="D66" t="s">
        <v>416</v>
      </c>
      <c r="E66" t="s">
        <v>417</v>
      </c>
      <c r="F66">
        <v>2022</v>
      </c>
      <c r="G66">
        <v>5</v>
      </c>
      <c r="H66" t="s">
        <v>418</v>
      </c>
    </row>
    <row r="67" spans="1:8" x14ac:dyDescent="0.2">
      <c r="A67" t="s">
        <v>517</v>
      </c>
      <c r="B67" t="s">
        <v>419</v>
      </c>
      <c r="C67" t="s">
        <v>420</v>
      </c>
      <c r="D67" t="s">
        <v>421</v>
      </c>
      <c r="E67" t="s">
        <v>422</v>
      </c>
      <c r="F67">
        <v>2022</v>
      </c>
      <c r="G67">
        <v>0</v>
      </c>
      <c r="H67" t="s">
        <v>423</v>
      </c>
    </row>
    <row r="68" spans="1:8" x14ac:dyDescent="0.2">
      <c r="A68" t="s">
        <v>518</v>
      </c>
      <c r="B68" t="s">
        <v>424</v>
      </c>
      <c r="C68" t="s">
        <v>425</v>
      </c>
      <c r="D68" t="s">
        <v>426</v>
      </c>
      <c r="E68" t="s">
        <v>427</v>
      </c>
      <c r="F68">
        <v>2022</v>
      </c>
      <c r="G68">
        <v>8</v>
      </c>
      <c r="H68" t="s">
        <v>428</v>
      </c>
    </row>
    <row r="69" spans="1:8" x14ac:dyDescent="0.2">
      <c r="A69" t="s">
        <v>519</v>
      </c>
      <c r="B69" t="s">
        <v>429</v>
      </c>
      <c r="C69" t="s">
        <v>430</v>
      </c>
      <c r="D69" t="s">
        <v>11</v>
      </c>
      <c r="E69" t="s">
        <v>431</v>
      </c>
      <c r="F69">
        <v>2022</v>
      </c>
      <c r="G69">
        <v>6</v>
      </c>
      <c r="H69" t="s">
        <v>432</v>
      </c>
    </row>
    <row r="70" spans="1:8" x14ac:dyDescent="0.2">
      <c r="A70" t="s">
        <v>520</v>
      </c>
      <c r="B70" t="s">
        <v>433</v>
      </c>
      <c r="C70" t="s">
        <v>434</v>
      </c>
      <c r="D70" t="s">
        <v>435</v>
      </c>
      <c r="E70" t="s">
        <v>436</v>
      </c>
      <c r="F70">
        <v>2021</v>
      </c>
      <c r="G70">
        <v>118</v>
      </c>
      <c r="H70" t="s">
        <v>437</v>
      </c>
    </row>
    <row r="71" spans="1:8" x14ac:dyDescent="0.2">
      <c r="A71" t="s">
        <v>521</v>
      </c>
      <c r="B71" t="s">
        <v>438</v>
      </c>
      <c r="C71" t="s">
        <v>439</v>
      </c>
      <c r="D71" t="s">
        <v>440</v>
      </c>
      <c r="E71" t="s">
        <v>441</v>
      </c>
      <c r="F71">
        <v>2021</v>
      </c>
      <c r="G71">
        <v>0</v>
      </c>
      <c r="H71" t="s">
        <v>442</v>
      </c>
    </row>
    <row r="72" spans="1:8" x14ac:dyDescent="0.2">
      <c r="A72" t="s">
        <v>522</v>
      </c>
      <c r="B72" t="s">
        <v>443</v>
      </c>
      <c r="C72" t="s">
        <v>444</v>
      </c>
      <c r="D72" t="s">
        <v>445</v>
      </c>
      <c r="E72" t="s">
        <v>446</v>
      </c>
      <c r="F72">
        <v>2020</v>
      </c>
      <c r="G72">
        <v>4</v>
      </c>
      <c r="H72" t="s">
        <v>447</v>
      </c>
    </row>
    <row r="73" spans="1:8" x14ac:dyDescent="0.2">
      <c r="A73" t="s">
        <v>523</v>
      </c>
      <c r="B73" t="s">
        <v>448</v>
      </c>
      <c r="C73" t="s">
        <v>449</v>
      </c>
      <c r="D73" t="s">
        <v>11</v>
      </c>
      <c r="E73" t="s">
        <v>450</v>
      </c>
      <c r="F73">
        <v>2020</v>
      </c>
      <c r="G73">
        <v>35</v>
      </c>
      <c r="H73" t="s">
        <v>451</v>
      </c>
    </row>
  </sheetData>
  <phoneticPr fontId="7"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1960-6B64-46AF-B5D8-C677DEB11749}">
  <sheetPr codeName="Sheet6"/>
  <dimension ref="A1:H52"/>
  <sheetViews>
    <sheetView topLeftCell="B34" workbookViewId="0">
      <selection activeCell="G52" sqref="G2:G52"/>
    </sheetView>
  </sheetViews>
  <sheetFormatPr baseColWidth="10" defaultColWidth="8.83203125" defaultRowHeight="15" x14ac:dyDescent="0.2"/>
  <cols>
    <col min="1" max="1" width="11.33203125" customWidth="1"/>
    <col min="2" max="2" width="73.5" customWidth="1"/>
    <col min="3" max="3" width="24.5" customWidth="1"/>
    <col min="4" max="4" width="29.6640625" customWidth="1"/>
    <col min="5" max="5" width="60.33203125" style="7" customWidth="1"/>
    <col min="6" max="6" width="15.1640625" style="7" customWidth="1"/>
    <col min="7" max="7" width="14.1640625" customWidth="1"/>
    <col min="8" max="8" width="49.1640625" customWidth="1"/>
  </cols>
  <sheetData>
    <row r="1" spans="1:8" x14ac:dyDescent="0.2">
      <c r="A1" t="s">
        <v>15</v>
      </c>
      <c r="B1" t="s">
        <v>9</v>
      </c>
      <c r="C1" t="s">
        <v>8</v>
      </c>
      <c r="D1" t="s">
        <v>10</v>
      </c>
      <c r="E1" t="s">
        <v>12</v>
      </c>
      <c r="F1" s="8" t="s">
        <v>13</v>
      </c>
      <c r="G1" s="8" t="s">
        <v>14</v>
      </c>
      <c r="H1" t="s">
        <v>16</v>
      </c>
    </row>
    <row r="2" spans="1:8" x14ac:dyDescent="0.2">
      <c r="A2" t="s">
        <v>642</v>
      </c>
      <c r="B2" t="s">
        <v>524</v>
      </c>
      <c r="C2" t="s">
        <v>525</v>
      </c>
      <c r="D2" t="s">
        <v>11</v>
      </c>
      <c r="E2" t="s">
        <v>526</v>
      </c>
      <c r="F2">
        <v>2024</v>
      </c>
      <c r="G2">
        <v>6</v>
      </c>
      <c r="H2" t="str">
        <f>HYPERLINK("http://dx.doi.org/10.1007/978-3-031-63219-8_24","http://dx.doi.org/10.1007/978-3-031-63219-8_24")</f>
        <v>http://dx.doi.org/10.1007/978-3-031-63219-8_24</v>
      </c>
    </row>
    <row r="3" spans="1:8" x14ac:dyDescent="0.2">
      <c r="A3" t="s">
        <v>643</v>
      </c>
      <c r="B3" t="s">
        <v>527</v>
      </c>
      <c r="C3" t="s">
        <v>528</v>
      </c>
      <c r="D3" t="s">
        <v>11</v>
      </c>
      <c r="E3" t="s">
        <v>529</v>
      </c>
      <c r="F3">
        <v>2025</v>
      </c>
      <c r="G3">
        <v>8</v>
      </c>
      <c r="H3" t="str">
        <f>HYPERLINK("http://dx.doi.org/10.1007/s10618-024-01081-4","http://dx.doi.org/10.1007/s10618-024-01081-4")</f>
        <v>http://dx.doi.org/10.1007/s10618-024-01081-4</v>
      </c>
    </row>
    <row r="4" spans="1:8" x14ac:dyDescent="0.2">
      <c r="A4" t="s">
        <v>644</v>
      </c>
      <c r="B4" t="s">
        <v>137</v>
      </c>
      <c r="C4" t="s">
        <v>530</v>
      </c>
      <c r="D4" t="s">
        <v>11</v>
      </c>
      <c r="E4" t="s">
        <v>531</v>
      </c>
      <c r="F4">
        <v>2025</v>
      </c>
      <c r="G4">
        <v>0</v>
      </c>
      <c r="H4" t="str">
        <f>HYPERLINK("http://dx.doi.org/10.1016/j.jbi.2025.104939","http://dx.doi.org/10.1016/j.jbi.2025.104939")</f>
        <v>http://dx.doi.org/10.1016/j.jbi.2025.104939</v>
      </c>
    </row>
    <row r="5" spans="1:8" x14ac:dyDescent="0.2">
      <c r="A5" t="s">
        <v>645</v>
      </c>
      <c r="B5" t="s">
        <v>17</v>
      </c>
      <c r="C5" t="s">
        <v>532</v>
      </c>
      <c r="D5" t="s">
        <v>11</v>
      </c>
      <c r="E5" t="s">
        <v>533</v>
      </c>
      <c r="F5">
        <v>2024</v>
      </c>
      <c r="G5">
        <v>0</v>
      </c>
      <c r="H5" t="str">
        <f>HYPERLINK("http://dx.doi.org/10.1145/3642970.3655829","http://dx.doi.org/10.1145/3642970.3655829")</f>
        <v>http://dx.doi.org/10.1145/3642970.3655829</v>
      </c>
    </row>
    <row r="6" spans="1:8" x14ac:dyDescent="0.2">
      <c r="A6" t="s">
        <v>646</v>
      </c>
      <c r="B6" t="s">
        <v>534</v>
      </c>
      <c r="C6" t="s">
        <v>535</v>
      </c>
      <c r="D6" t="s">
        <v>11</v>
      </c>
      <c r="E6" t="s">
        <v>536</v>
      </c>
      <c r="F6">
        <v>2025</v>
      </c>
      <c r="G6">
        <v>2</v>
      </c>
      <c r="H6" t="str">
        <f>HYPERLINK("http://dx.doi.org/10.1016/j.jval.2025.04.2157","http://dx.doi.org/10.1016/j.jval.2025.04.2157")</f>
        <v>http://dx.doi.org/10.1016/j.jval.2025.04.2157</v>
      </c>
    </row>
    <row r="7" spans="1:8" x14ac:dyDescent="0.2">
      <c r="A7" t="s">
        <v>647</v>
      </c>
      <c r="B7" t="s">
        <v>414</v>
      </c>
      <c r="C7" t="s">
        <v>537</v>
      </c>
      <c r="D7" t="s">
        <v>11</v>
      </c>
      <c r="E7" t="s">
        <v>538</v>
      </c>
      <c r="F7">
        <v>2022</v>
      </c>
      <c r="G7">
        <v>5</v>
      </c>
      <c r="H7" t="str">
        <f>HYPERLINK("http://dx.doi.org/10.1007/978-3-031-16290-9_29","http://dx.doi.org/10.1007/978-3-031-16290-9_29")</f>
        <v>http://dx.doi.org/10.1007/978-3-031-16290-9_29</v>
      </c>
    </row>
    <row r="8" spans="1:8" x14ac:dyDescent="0.2">
      <c r="A8" t="s">
        <v>648</v>
      </c>
      <c r="B8" t="s">
        <v>305</v>
      </c>
      <c r="C8" t="s">
        <v>539</v>
      </c>
      <c r="D8" t="s">
        <v>11</v>
      </c>
      <c r="E8" t="s">
        <v>540</v>
      </c>
      <c r="F8">
        <v>2024</v>
      </c>
      <c r="G8">
        <v>0</v>
      </c>
      <c r="H8" t="str">
        <f>HYPERLINK("http://dx.doi.org/10.1109/BCCA62388.2024.10844449","http://dx.doi.org/10.1109/BCCA62388.2024.10844449")</f>
        <v>http://dx.doi.org/10.1109/BCCA62388.2024.10844449</v>
      </c>
    </row>
    <row r="9" spans="1:8" x14ac:dyDescent="0.2">
      <c r="A9" t="s">
        <v>649</v>
      </c>
      <c r="B9" t="s">
        <v>340</v>
      </c>
      <c r="C9" t="s">
        <v>541</v>
      </c>
      <c r="D9" t="s">
        <v>11</v>
      </c>
      <c r="E9" t="s">
        <v>542</v>
      </c>
      <c r="F9">
        <v>2023</v>
      </c>
      <c r="G9">
        <v>2</v>
      </c>
      <c r="H9" t="str">
        <f>HYPERLINK("http://dx.doi.org/10.3233/SHTI230149","http://dx.doi.org/10.3233/SHTI230149")</f>
        <v>http://dx.doi.org/10.3233/SHTI230149</v>
      </c>
    </row>
    <row r="10" spans="1:8" x14ac:dyDescent="0.2">
      <c r="A10" t="s">
        <v>650</v>
      </c>
      <c r="B10" t="s">
        <v>310</v>
      </c>
      <c r="C10" t="s">
        <v>543</v>
      </c>
      <c r="D10" t="s">
        <v>11</v>
      </c>
      <c r="E10" t="s">
        <v>544</v>
      </c>
      <c r="F10">
        <v>2024</v>
      </c>
      <c r="G10">
        <v>0</v>
      </c>
      <c r="H10" t="str">
        <f>HYPERLINK("http://dx.doi.org/10.1109/BIBM62325.2024.10822178","http://dx.doi.org/10.1109/BIBM62325.2024.10822178")</f>
        <v>http://dx.doi.org/10.1109/BIBM62325.2024.10822178</v>
      </c>
    </row>
    <row r="11" spans="1:8" x14ac:dyDescent="0.2">
      <c r="A11" t="s">
        <v>651</v>
      </c>
      <c r="B11" t="s">
        <v>379</v>
      </c>
      <c r="C11" t="s">
        <v>545</v>
      </c>
      <c r="D11" t="s">
        <v>11</v>
      </c>
      <c r="E11" t="s">
        <v>546</v>
      </c>
      <c r="F11">
        <v>2023</v>
      </c>
      <c r="G11">
        <v>51</v>
      </c>
      <c r="H11" t="str">
        <f>HYPERLINK("http://dx.doi.org/10.1109/ACCESS.2023.3275134","http://dx.doi.org/10.1109/ACCESS.2023.3275134")</f>
        <v>http://dx.doi.org/10.1109/ACCESS.2023.3275134</v>
      </c>
    </row>
    <row r="12" spans="1:8" x14ac:dyDescent="0.2">
      <c r="A12" t="s">
        <v>652</v>
      </c>
      <c r="B12" t="s">
        <v>394</v>
      </c>
      <c r="C12" t="s">
        <v>547</v>
      </c>
      <c r="D12" t="s">
        <v>11</v>
      </c>
      <c r="E12" t="s">
        <v>548</v>
      </c>
      <c r="F12">
        <v>2022</v>
      </c>
      <c r="G12">
        <v>43</v>
      </c>
      <c r="H12" t="str">
        <f>HYPERLINK("http://dx.doi.org/10.3390/app12147075","http://dx.doi.org/10.3390/app12147075")</f>
        <v>http://dx.doi.org/10.3390/app12147075</v>
      </c>
    </row>
    <row r="13" spans="1:8" x14ac:dyDescent="0.2">
      <c r="A13" t="s">
        <v>653</v>
      </c>
      <c r="B13" t="s">
        <v>244</v>
      </c>
      <c r="C13" t="s">
        <v>549</v>
      </c>
      <c r="D13" t="s">
        <v>11</v>
      </c>
      <c r="E13" t="s">
        <v>550</v>
      </c>
      <c r="F13">
        <v>2025</v>
      </c>
      <c r="G13">
        <v>3</v>
      </c>
      <c r="H13" t="str">
        <f>HYPERLINK("http://dx.doi.org/10.3389/fspor.2025.1607600","http://dx.doi.org/10.3389/fspor.2025.1607600")</f>
        <v>http://dx.doi.org/10.3389/fspor.2025.1607600</v>
      </c>
    </row>
    <row r="14" spans="1:8" x14ac:dyDescent="0.2">
      <c r="A14" t="s">
        <v>654</v>
      </c>
      <c r="B14" t="s">
        <v>196</v>
      </c>
      <c r="C14" t="s">
        <v>551</v>
      </c>
      <c r="D14" t="s">
        <v>11</v>
      </c>
      <c r="E14" t="s">
        <v>552</v>
      </c>
      <c r="F14">
        <v>2025</v>
      </c>
      <c r="G14">
        <v>0</v>
      </c>
      <c r="H14" t="str">
        <f>HYPERLINK("http://dx.doi.org/10.1109/LGRS.2025.3541770","http://dx.doi.org/10.1109/LGRS.2025.3541770")</f>
        <v>http://dx.doi.org/10.1109/LGRS.2025.3541770</v>
      </c>
    </row>
    <row r="15" spans="1:8" x14ac:dyDescent="0.2">
      <c r="A15" t="s">
        <v>655</v>
      </c>
      <c r="B15" t="s">
        <v>443</v>
      </c>
      <c r="C15" t="s">
        <v>553</v>
      </c>
      <c r="D15" t="s">
        <v>11</v>
      </c>
      <c r="E15" t="s">
        <v>554</v>
      </c>
      <c r="F15">
        <v>2020</v>
      </c>
      <c r="G15">
        <v>2</v>
      </c>
      <c r="H15" t="s">
        <v>11</v>
      </c>
    </row>
    <row r="16" spans="1:8" x14ac:dyDescent="0.2">
      <c r="A16" t="s">
        <v>656</v>
      </c>
      <c r="B16" t="s">
        <v>301</v>
      </c>
      <c r="C16" t="s">
        <v>555</v>
      </c>
      <c r="D16" t="s">
        <v>11</v>
      </c>
      <c r="E16" t="s">
        <v>556</v>
      </c>
      <c r="F16">
        <v>2024</v>
      </c>
      <c r="G16">
        <v>10</v>
      </c>
      <c r="H16" t="str">
        <f>HYPERLINK("http://dx.doi.org/10.1371/journal.pone.0297271","http://dx.doi.org/10.1371/journal.pone.0297271")</f>
        <v>http://dx.doi.org/10.1371/journal.pone.0297271</v>
      </c>
    </row>
    <row r="17" spans="1:8" x14ac:dyDescent="0.2">
      <c r="A17" t="s">
        <v>657</v>
      </c>
      <c r="B17" t="s">
        <v>557</v>
      </c>
      <c r="C17" t="s">
        <v>558</v>
      </c>
      <c r="D17" t="s">
        <v>11</v>
      </c>
      <c r="E17" t="s">
        <v>559</v>
      </c>
      <c r="F17">
        <v>2023</v>
      </c>
      <c r="G17">
        <v>1</v>
      </c>
      <c r="H17" t="str">
        <f>HYPERLINK("http://dx.doi.org/10.1007/978-3-031-41456-5_21","http://dx.doi.org/10.1007/978-3-031-41456-5_21")</f>
        <v>http://dx.doi.org/10.1007/978-3-031-41456-5_21</v>
      </c>
    </row>
    <row r="18" spans="1:8" x14ac:dyDescent="0.2">
      <c r="A18" t="s">
        <v>658</v>
      </c>
      <c r="B18" t="s">
        <v>374</v>
      </c>
      <c r="C18" t="s">
        <v>560</v>
      </c>
      <c r="D18" t="s">
        <v>11</v>
      </c>
      <c r="E18" t="s">
        <v>561</v>
      </c>
      <c r="F18">
        <v>2023</v>
      </c>
      <c r="G18">
        <v>0</v>
      </c>
      <c r="H18" t="s">
        <v>11</v>
      </c>
    </row>
    <row r="19" spans="1:8" x14ac:dyDescent="0.2">
      <c r="A19" t="s">
        <v>659</v>
      </c>
      <c r="B19" t="s">
        <v>330</v>
      </c>
      <c r="C19" t="s">
        <v>562</v>
      </c>
      <c r="D19" t="s">
        <v>11</v>
      </c>
      <c r="E19" t="s">
        <v>563</v>
      </c>
      <c r="F19">
        <v>2024</v>
      </c>
      <c r="G19">
        <v>1</v>
      </c>
      <c r="H19" t="str">
        <f>HYPERLINK("http://dx.doi.org/10.1109/OJEMB.2024.3426910","http://dx.doi.org/10.1109/OJEMB.2024.3426910")</f>
        <v>http://dx.doi.org/10.1109/OJEMB.2024.3426910</v>
      </c>
    </row>
    <row r="20" spans="1:8" x14ac:dyDescent="0.2">
      <c r="A20" t="s">
        <v>660</v>
      </c>
      <c r="B20" t="s">
        <v>564</v>
      </c>
      <c r="C20" t="s">
        <v>565</v>
      </c>
      <c r="D20" t="s">
        <v>11</v>
      </c>
      <c r="E20" t="s">
        <v>566</v>
      </c>
      <c r="F20">
        <v>2023</v>
      </c>
      <c r="G20">
        <v>8</v>
      </c>
      <c r="H20" t="str">
        <f>HYPERLINK("http://dx.doi.org/10.1007/978-3-031-27077-2_34","http://dx.doi.org/10.1007/978-3-031-27077-2_34")</f>
        <v>http://dx.doi.org/10.1007/978-3-031-27077-2_34</v>
      </c>
    </row>
    <row r="21" spans="1:8" x14ac:dyDescent="0.2">
      <c r="A21" t="s">
        <v>661</v>
      </c>
      <c r="B21" t="s">
        <v>142</v>
      </c>
      <c r="C21" t="s">
        <v>567</v>
      </c>
      <c r="D21" t="s">
        <v>11</v>
      </c>
      <c r="E21" t="s">
        <v>568</v>
      </c>
      <c r="F21">
        <v>2025</v>
      </c>
      <c r="G21">
        <v>0</v>
      </c>
      <c r="H21" t="str">
        <f>HYPERLINK("http://dx.doi.org/10.1007/s11263-025-02554-9","http://dx.doi.org/10.1007/s11263-025-02554-9")</f>
        <v>http://dx.doi.org/10.1007/s11263-025-02554-9</v>
      </c>
    </row>
    <row r="22" spans="1:8" x14ac:dyDescent="0.2">
      <c r="A22" t="s">
        <v>662</v>
      </c>
      <c r="B22" t="s">
        <v>119</v>
      </c>
      <c r="C22" t="s">
        <v>569</v>
      </c>
      <c r="D22" t="s">
        <v>11</v>
      </c>
      <c r="E22" t="s">
        <v>570</v>
      </c>
      <c r="F22">
        <v>2025</v>
      </c>
      <c r="G22">
        <v>1</v>
      </c>
      <c r="H22" t="str">
        <f>HYPERLINK("http://dx.doi.org/10.1038/s44172-025-00450-1","http://dx.doi.org/10.1038/s44172-025-00450-1")</f>
        <v>http://dx.doi.org/10.1038/s44172-025-00450-1</v>
      </c>
    </row>
    <row r="23" spans="1:8" x14ac:dyDescent="0.2">
      <c r="A23" t="s">
        <v>663</v>
      </c>
      <c r="B23" t="s">
        <v>152</v>
      </c>
      <c r="C23" t="s">
        <v>571</v>
      </c>
      <c r="D23" t="s">
        <v>11</v>
      </c>
      <c r="E23" t="s">
        <v>572</v>
      </c>
      <c r="F23">
        <v>2025</v>
      </c>
      <c r="G23">
        <v>0</v>
      </c>
      <c r="H23" t="str">
        <f>HYPERLINK("http://dx.doi.org/10.1007/s10994-025-06880-4","http://dx.doi.org/10.1007/s10994-025-06880-4")</f>
        <v>http://dx.doi.org/10.1007/s10994-025-06880-4</v>
      </c>
    </row>
    <row r="24" spans="1:8" x14ac:dyDescent="0.2">
      <c r="A24" t="s">
        <v>664</v>
      </c>
      <c r="B24" t="s">
        <v>264</v>
      </c>
      <c r="C24" t="s">
        <v>573</v>
      </c>
      <c r="D24" t="s">
        <v>11</v>
      </c>
      <c r="E24" t="s">
        <v>574</v>
      </c>
      <c r="F24">
        <v>2025</v>
      </c>
      <c r="G24">
        <v>5</v>
      </c>
      <c r="H24" t="str">
        <f>HYPERLINK("http://dx.doi.org/10.3389/fdgth.2025.1576290","http://dx.doi.org/10.3389/fdgth.2025.1576290")</f>
        <v>http://dx.doi.org/10.3389/fdgth.2025.1576290</v>
      </c>
    </row>
    <row r="25" spans="1:8" x14ac:dyDescent="0.2">
      <c r="A25" t="s">
        <v>665</v>
      </c>
      <c r="B25" t="s">
        <v>132</v>
      </c>
      <c r="C25" t="s">
        <v>575</v>
      </c>
      <c r="D25" t="s">
        <v>11</v>
      </c>
      <c r="E25" t="s">
        <v>576</v>
      </c>
      <c r="F25">
        <v>2025</v>
      </c>
      <c r="G25">
        <v>0</v>
      </c>
      <c r="H25" t="str">
        <f>HYPERLINK("http://dx.doi.org/10.1016/j.jbi.2025.104932","http://dx.doi.org/10.1016/j.jbi.2025.104932")</f>
        <v>http://dx.doi.org/10.1016/j.jbi.2025.104932</v>
      </c>
    </row>
    <row r="26" spans="1:8" x14ac:dyDescent="0.2">
      <c r="A26" t="s">
        <v>666</v>
      </c>
      <c r="B26" t="s">
        <v>577</v>
      </c>
      <c r="C26" t="s">
        <v>578</v>
      </c>
      <c r="D26" t="s">
        <v>11</v>
      </c>
      <c r="E26" t="s">
        <v>579</v>
      </c>
      <c r="F26">
        <v>2025</v>
      </c>
      <c r="G26">
        <v>1</v>
      </c>
      <c r="H26" t="str">
        <f>HYPERLINK("http://dx.doi.org/10.1162/coli_a_00540","http://dx.doi.org/10.1162/coli_a_00540")</f>
        <v>http://dx.doi.org/10.1162/coli_a_00540</v>
      </c>
    </row>
    <row r="27" spans="1:8" x14ac:dyDescent="0.2">
      <c r="A27" t="s">
        <v>667</v>
      </c>
      <c r="B27" t="s">
        <v>345</v>
      </c>
      <c r="C27" t="s">
        <v>580</v>
      </c>
      <c r="D27" t="s">
        <v>11</v>
      </c>
      <c r="E27" t="s">
        <v>581</v>
      </c>
      <c r="F27">
        <v>2023</v>
      </c>
      <c r="G27">
        <v>2</v>
      </c>
      <c r="H27" t="str">
        <f>HYPERLINK("http://dx.doi.org/10.1109/IJCB57857.2023.10448898","http://dx.doi.org/10.1109/IJCB57857.2023.10448898")</f>
        <v>http://dx.doi.org/10.1109/IJCB57857.2023.10448898</v>
      </c>
    </row>
    <row r="28" spans="1:8" x14ac:dyDescent="0.2">
      <c r="A28" t="s">
        <v>668</v>
      </c>
      <c r="B28" t="s">
        <v>249</v>
      </c>
      <c r="C28" t="s">
        <v>582</v>
      </c>
      <c r="D28" t="s">
        <v>11</v>
      </c>
      <c r="E28" t="s">
        <v>583</v>
      </c>
      <c r="F28">
        <v>2025</v>
      </c>
      <c r="G28">
        <v>2</v>
      </c>
      <c r="H28" t="str">
        <f>HYPERLINK("http://dx.doi.org/10.1080/19439962.2025.2504382","http://dx.doi.org/10.1080/19439962.2025.2504382")</f>
        <v>http://dx.doi.org/10.1080/19439962.2025.2504382</v>
      </c>
    </row>
    <row r="29" spans="1:8" x14ac:dyDescent="0.2">
      <c r="A29" t="s">
        <v>669</v>
      </c>
      <c r="B29" t="s">
        <v>259</v>
      </c>
      <c r="C29" t="s">
        <v>584</v>
      </c>
      <c r="D29" t="s">
        <v>11</v>
      </c>
      <c r="E29" t="s">
        <v>585</v>
      </c>
      <c r="F29">
        <v>2025</v>
      </c>
      <c r="G29">
        <v>0</v>
      </c>
      <c r="H29" t="str">
        <f>HYPERLINK("http://dx.doi.org/10.1109/SOUTHEASTCON56624.2025.10971654","http://dx.doi.org/10.1109/SOUTHEASTCON56624.2025.10971654")</f>
        <v>http://dx.doi.org/10.1109/SOUTHEASTCON56624.2025.10971654</v>
      </c>
    </row>
    <row r="30" spans="1:8" x14ac:dyDescent="0.2">
      <c r="A30" t="s">
        <v>670</v>
      </c>
      <c r="B30" t="s">
        <v>181</v>
      </c>
      <c r="C30" t="s">
        <v>586</v>
      </c>
      <c r="D30" t="s">
        <v>11</v>
      </c>
      <c r="E30" t="s">
        <v>587</v>
      </c>
      <c r="F30">
        <v>2025</v>
      </c>
      <c r="G30">
        <v>3</v>
      </c>
      <c r="H30" t="str">
        <f>HYPERLINK("http://dx.doi.org/10.1016/j.engappai.2025.110133","http://dx.doi.org/10.1016/j.engappai.2025.110133")</f>
        <v>http://dx.doi.org/10.1016/j.engappai.2025.110133</v>
      </c>
    </row>
    <row r="31" spans="1:8" x14ac:dyDescent="0.2">
      <c r="A31" t="s">
        <v>671</v>
      </c>
      <c r="B31" t="s">
        <v>588</v>
      </c>
      <c r="C31" t="s">
        <v>589</v>
      </c>
      <c r="D31" t="s">
        <v>11</v>
      </c>
      <c r="E31" t="s">
        <v>590</v>
      </c>
      <c r="F31">
        <v>1995</v>
      </c>
      <c r="G31">
        <v>18</v>
      </c>
      <c r="H31" t="str">
        <f>HYPERLINK("http://dx.doi.org/10.1016/0022-1694(94)02625-L","http://dx.doi.org/10.1016/0022-1694(94)02625-L")</f>
        <v>http://dx.doi.org/10.1016/0022-1694(94)02625-L</v>
      </c>
    </row>
    <row r="32" spans="1:8" x14ac:dyDescent="0.2">
      <c r="A32" t="s">
        <v>672</v>
      </c>
      <c r="B32" t="s">
        <v>433</v>
      </c>
      <c r="C32" t="s">
        <v>591</v>
      </c>
      <c r="D32" t="s">
        <v>11</v>
      </c>
      <c r="E32" t="s">
        <v>592</v>
      </c>
      <c r="F32">
        <v>2021</v>
      </c>
      <c r="G32">
        <v>93</v>
      </c>
      <c r="H32" t="str">
        <f>HYPERLINK("http://dx.doi.org/10.1016/j.comnet.2021.108149","http://dx.doi.org/10.1016/j.comnet.2021.108149")</f>
        <v>http://dx.doi.org/10.1016/j.comnet.2021.108149</v>
      </c>
    </row>
    <row r="33" spans="1:8" x14ac:dyDescent="0.2">
      <c r="A33" t="s">
        <v>673</v>
      </c>
      <c r="B33" t="s">
        <v>114</v>
      </c>
      <c r="C33" t="s">
        <v>593</v>
      </c>
      <c r="D33" t="s">
        <v>11</v>
      </c>
      <c r="E33" t="s">
        <v>594</v>
      </c>
      <c r="F33">
        <v>2025</v>
      </c>
      <c r="G33">
        <v>0</v>
      </c>
      <c r="H33" t="str">
        <f>HYPERLINK("http://dx.doi.org/10.1016/j.rineng.2025.107591","http://dx.doi.org/10.1016/j.rineng.2025.107591")</f>
        <v>http://dx.doi.org/10.1016/j.rineng.2025.107591</v>
      </c>
    </row>
    <row r="34" spans="1:8" x14ac:dyDescent="0.2">
      <c r="A34" t="s">
        <v>674</v>
      </c>
      <c r="B34" t="s">
        <v>206</v>
      </c>
      <c r="C34" t="s">
        <v>595</v>
      </c>
      <c r="D34" t="s">
        <v>11</v>
      </c>
      <c r="E34" t="s">
        <v>596</v>
      </c>
      <c r="F34">
        <v>2025</v>
      </c>
      <c r="G34">
        <v>6</v>
      </c>
      <c r="H34" t="str">
        <f>HYPERLINK("http://dx.doi.org/10.1016/j.ipm.2024.103948","http://dx.doi.org/10.1016/j.ipm.2024.103948")</f>
        <v>http://dx.doi.org/10.1016/j.ipm.2024.103948</v>
      </c>
    </row>
    <row r="35" spans="1:8" x14ac:dyDescent="0.2">
      <c r="A35" t="s">
        <v>675</v>
      </c>
      <c r="B35" t="s">
        <v>269</v>
      </c>
      <c r="C35" t="s">
        <v>597</v>
      </c>
      <c r="D35" t="s">
        <v>11</v>
      </c>
      <c r="E35" t="s">
        <v>598</v>
      </c>
      <c r="F35">
        <v>2025</v>
      </c>
      <c r="G35">
        <v>11</v>
      </c>
      <c r="H35" t="str">
        <f>HYPERLINK("http://dx.doi.org/10.1109/TIM.2025.3551442","http://dx.doi.org/10.1109/TIM.2025.3551442")</f>
        <v>http://dx.doi.org/10.1109/TIM.2025.3551442</v>
      </c>
    </row>
    <row r="36" spans="1:8" x14ac:dyDescent="0.2">
      <c r="A36" t="s">
        <v>676</v>
      </c>
      <c r="B36" t="s">
        <v>123</v>
      </c>
      <c r="C36" t="s">
        <v>599</v>
      </c>
      <c r="D36" t="s">
        <v>11</v>
      </c>
      <c r="E36" t="s">
        <v>600</v>
      </c>
      <c r="F36">
        <v>2025</v>
      </c>
      <c r="G36">
        <v>1</v>
      </c>
      <c r="H36" t="str">
        <f>HYPERLINK("http://dx.doi.org/10.1111/mice.70071","http://dx.doi.org/10.1111/mice.70071")</f>
        <v>http://dx.doi.org/10.1111/mice.70071</v>
      </c>
    </row>
    <row r="37" spans="1:8" x14ac:dyDescent="0.2">
      <c r="A37" t="s">
        <v>677</v>
      </c>
      <c r="B37" t="s">
        <v>601</v>
      </c>
      <c r="C37" t="s">
        <v>602</v>
      </c>
      <c r="D37" t="s">
        <v>11</v>
      </c>
      <c r="E37" t="s">
        <v>603</v>
      </c>
      <c r="F37">
        <v>2022</v>
      </c>
      <c r="G37">
        <v>0</v>
      </c>
      <c r="H37" t="str">
        <f>HYPERLINK("http://dx.doi.org/10.1007/978-3-031-01333-1_10","http://dx.doi.org/10.1007/978-3-031-01333-1_10")</f>
        <v>http://dx.doi.org/10.1007/978-3-031-01333-1_10</v>
      </c>
    </row>
    <row r="38" spans="1:8" x14ac:dyDescent="0.2">
      <c r="A38" t="s">
        <v>678</v>
      </c>
      <c r="B38" t="s">
        <v>399</v>
      </c>
      <c r="C38" t="s">
        <v>604</v>
      </c>
      <c r="D38" t="s">
        <v>11</v>
      </c>
      <c r="E38" t="s">
        <v>605</v>
      </c>
      <c r="F38">
        <v>2022</v>
      </c>
      <c r="G38">
        <v>0</v>
      </c>
      <c r="H38" t="str">
        <f>HYPERLINK("http://dx.doi.org/10.1007/s10115-022-01677-6","http://dx.doi.org/10.1007/s10115-022-01677-6")</f>
        <v>http://dx.doi.org/10.1007/s10115-022-01677-6</v>
      </c>
    </row>
    <row r="39" spans="1:8" x14ac:dyDescent="0.2">
      <c r="A39" t="s">
        <v>679</v>
      </c>
      <c r="B39" t="s">
        <v>606</v>
      </c>
      <c r="C39" t="s">
        <v>607</v>
      </c>
      <c r="D39" t="s">
        <v>11</v>
      </c>
      <c r="E39" t="s">
        <v>608</v>
      </c>
      <c r="F39">
        <v>2017</v>
      </c>
      <c r="G39">
        <v>0</v>
      </c>
      <c r="H39" t="str">
        <f>HYPERLINK("http://dx.doi.org/10.1117/12.2254496","http://dx.doi.org/10.1117/12.2254496")</f>
        <v>http://dx.doi.org/10.1117/12.2254496</v>
      </c>
    </row>
    <row r="40" spans="1:8" x14ac:dyDescent="0.2">
      <c r="A40" t="s">
        <v>680</v>
      </c>
      <c r="B40" t="s">
        <v>369</v>
      </c>
      <c r="C40" t="s">
        <v>609</v>
      </c>
      <c r="D40" t="s">
        <v>11</v>
      </c>
      <c r="E40" t="s">
        <v>610</v>
      </c>
      <c r="F40">
        <v>2023</v>
      </c>
      <c r="G40">
        <v>3</v>
      </c>
      <c r="H40" t="str">
        <f>HYPERLINK("http://dx.doi.org/10.1109/VTC2023-Spring57618.2023.10200352","http://dx.doi.org/10.1109/VTC2023-Spring57618.2023.10200352")</f>
        <v>http://dx.doi.org/10.1109/VTC2023-Spring57618.2023.10200352</v>
      </c>
    </row>
    <row r="41" spans="1:8" x14ac:dyDescent="0.2">
      <c r="A41" t="s">
        <v>681</v>
      </c>
      <c r="B41" t="s">
        <v>611</v>
      </c>
      <c r="C41" t="s">
        <v>612</v>
      </c>
      <c r="D41" t="s">
        <v>11</v>
      </c>
      <c r="E41" t="s">
        <v>613</v>
      </c>
      <c r="F41">
        <v>2017</v>
      </c>
      <c r="G41">
        <v>14</v>
      </c>
      <c r="H41" t="str">
        <f>HYPERLINK("http://dx.doi.org/10.4338/ACI-2017-03-RA0042","http://dx.doi.org/10.4338/ACI-2017-03-RA0042")</f>
        <v>http://dx.doi.org/10.4338/ACI-2017-03-RA0042</v>
      </c>
    </row>
    <row r="42" spans="1:8" x14ac:dyDescent="0.2">
      <c r="A42" t="s">
        <v>682</v>
      </c>
      <c r="B42" t="s">
        <v>167</v>
      </c>
      <c r="C42" t="s">
        <v>614</v>
      </c>
      <c r="D42" t="s">
        <v>11</v>
      </c>
      <c r="E42" t="s">
        <v>615</v>
      </c>
      <c r="F42">
        <v>2025</v>
      </c>
      <c r="G42">
        <v>0</v>
      </c>
      <c r="H42" t="str">
        <f>HYPERLINK("http://dx.doi.org/10.1016/j.iot.2025.101728","http://dx.doi.org/10.1016/j.iot.2025.101728")</f>
        <v>http://dx.doi.org/10.1016/j.iot.2025.101728</v>
      </c>
    </row>
    <row r="43" spans="1:8" x14ac:dyDescent="0.2">
      <c r="A43" t="s">
        <v>683</v>
      </c>
      <c r="B43" t="s">
        <v>616</v>
      </c>
      <c r="C43" t="s">
        <v>617</v>
      </c>
      <c r="D43" t="s">
        <v>11</v>
      </c>
      <c r="E43" t="s">
        <v>618</v>
      </c>
      <c r="F43">
        <v>2024</v>
      </c>
      <c r="G43">
        <v>28</v>
      </c>
      <c r="H43" t="str">
        <f>HYPERLINK("http://dx.doi.org/10.1016/j.ijmedinf.2024.105413","http://dx.doi.org/10.1016/j.ijmedinf.2024.105413")</f>
        <v>http://dx.doi.org/10.1016/j.ijmedinf.2024.105413</v>
      </c>
    </row>
    <row r="44" spans="1:8" x14ac:dyDescent="0.2">
      <c r="A44" t="s">
        <v>684</v>
      </c>
      <c r="B44" t="s">
        <v>448</v>
      </c>
      <c r="C44" t="s">
        <v>619</v>
      </c>
      <c r="D44" t="s">
        <v>11</v>
      </c>
      <c r="E44" t="s">
        <v>620</v>
      </c>
      <c r="F44">
        <v>2020</v>
      </c>
      <c r="G44">
        <v>35</v>
      </c>
      <c r="H44" t="s">
        <v>11</v>
      </c>
    </row>
    <row r="45" spans="1:8" x14ac:dyDescent="0.2">
      <c r="A45" t="s">
        <v>685</v>
      </c>
      <c r="B45" t="s">
        <v>621</v>
      </c>
      <c r="C45" t="s">
        <v>622</v>
      </c>
      <c r="D45" t="s">
        <v>11</v>
      </c>
      <c r="E45" t="s">
        <v>623</v>
      </c>
      <c r="F45">
        <v>2024</v>
      </c>
      <c r="G45">
        <v>4</v>
      </c>
      <c r="H45" t="str">
        <f>HYPERLINK("http://dx.doi.org/10.1145/3652988.3673967","http://dx.doi.org/10.1145/3652988.3673967")</f>
        <v>http://dx.doi.org/10.1145/3652988.3673967</v>
      </c>
    </row>
    <row r="46" spans="1:8" x14ac:dyDescent="0.2">
      <c r="A46" t="s">
        <v>686</v>
      </c>
      <c r="B46" t="s">
        <v>624</v>
      </c>
      <c r="C46" t="s">
        <v>625</v>
      </c>
      <c r="D46" t="s">
        <v>11</v>
      </c>
      <c r="E46" t="s">
        <v>626</v>
      </c>
      <c r="F46">
        <v>2022</v>
      </c>
      <c r="G46">
        <v>1</v>
      </c>
      <c r="H46" t="str">
        <f>HYPERLINK("http://dx.doi.org/10.1007/978-3-031-19775-8_25","http://dx.doi.org/10.1007/978-3-031-19775-8_25")</f>
        <v>http://dx.doi.org/10.1007/978-3-031-19775-8_25</v>
      </c>
    </row>
    <row r="47" spans="1:8" x14ac:dyDescent="0.2">
      <c r="A47" t="s">
        <v>687</v>
      </c>
      <c r="B47" t="s">
        <v>627</v>
      </c>
      <c r="C47" t="s">
        <v>628</v>
      </c>
      <c r="D47" t="s">
        <v>11</v>
      </c>
      <c r="E47" t="s">
        <v>629</v>
      </c>
      <c r="F47">
        <v>2026</v>
      </c>
      <c r="G47">
        <v>0</v>
      </c>
      <c r="H47" t="str">
        <f>HYPERLINK("http://dx.doi.org/10.1016/j.ipm.2025.104505","http://dx.doi.org/10.1016/j.ipm.2025.104505")</f>
        <v>http://dx.doi.org/10.1016/j.ipm.2025.104505</v>
      </c>
    </row>
    <row r="48" spans="1:8" x14ac:dyDescent="0.2">
      <c r="A48" t="s">
        <v>688</v>
      </c>
      <c r="B48" t="s">
        <v>274</v>
      </c>
      <c r="C48" t="s">
        <v>630</v>
      </c>
      <c r="D48" t="s">
        <v>11</v>
      </c>
      <c r="E48" t="s">
        <v>631</v>
      </c>
      <c r="F48">
        <v>2025</v>
      </c>
      <c r="G48">
        <v>0</v>
      </c>
      <c r="H48" t="str">
        <f>HYPERLINK("http://dx.doi.org/10.1080/13658816.2025.2481101","http://dx.doi.org/10.1080/13658816.2025.2481101")</f>
        <v>http://dx.doi.org/10.1080/13658816.2025.2481101</v>
      </c>
    </row>
    <row r="49" spans="1:8" x14ac:dyDescent="0.2">
      <c r="A49" t="s">
        <v>689</v>
      </c>
      <c r="B49" t="s">
        <v>632</v>
      </c>
      <c r="C49" t="s">
        <v>633</v>
      </c>
      <c r="D49" t="s">
        <v>11</v>
      </c>
      <c r="E49" t="s">
        <v>634</v>
      </c>
      <c r="F49">
        <v>2018</v>
      </c>
      <c r="G49">
        <v>140</v>
      </c>
      <c r="H49" t="str">
        <f>HYPERLINK("http://dx.doi.org/10.1093/ije/dyy120","http://dx.doi.org/10.1093/ije/dyy120")</f>
        <v>http://dx.doi.org/10.1093/ije/dyy120</v>
      </c>
    </row>
    <row r="50" spans="1:8" x14ac:dyDescent="0.2">
      <c r="A50" t="s">
        <v>690</v>
      </c>
      <c r="B50" t="s">
        <v>320</v>
      </c>
      <c r="C50" t="s">
        <v>635</v>
      </c>
      <c r="D50" t="s">
        <v>11</v>
      </c>
      <c r="E50" t="s">
        <v>636</v>
      </c>
      <c r="F50">
        <v>2024</v>
      </c>
      <c r="G50">
        <v>0</v>
      </c>
      <c r="H50" t="str">
        <f>HYPERLINK("http://dx.doi.org/10.1109/COMPSAC61105.2024.00035","http://dx.doi.org/10.1109/COMPSAC61105.2024.00035")</f>
        <v>http://dx.doi.org/10.1109/COMPSAC61105.2024.00035</v>
      </c>
    </row>
    <row r="51" spans="1:8" x14ac:dyDescent="0.2">
      <c r="A51" t="s">
        <v>691</v>
      </c>
      <c r="B51" t="s">
        <v>104</v>
      </c>
      <c r="C51" t="s">
        <v>637</v>
      </c>
      <c r="D51" t="s">
        <v>11</v>
      </c>
      <c r="E51" t="s">
        <v>638</v>
      </c>
      <c r="F51">
        <v>2026</v>
      </c>
      <c r="G51">
        <v>0</v>
      </c>
      <c r="H51" t="str">
        <f>HYPERLINK("http://dx.doi.org/10.1016/j.eswa.2025.128937","http://dx.doi.org/10.1016/j.eswa.2025.128937")</f>
        <v>http://dx.doi.org/10.1016/j.eswa.2025.128937</v>
      </c>
    </row>
    <row r="52" spans="1:8" x14ac:dyDescent="0.2">
      <c r="A52" t="s">
        <v>692</v>
      </c>
      <c r="B52" t="s">
        <v>639</v>
      </c>
      <c r="C52" t="s">
        <v>640</v>
      </c>
      <c r="D52" t="s">
        <v>11</v>
      </c>
      <c r="E52" t="s">
        <v>641</v>
      </c>
      <c r="F52">
        <v>2018</v>
      </c>
      <c r="G52">
        <v>3</v>
      </c>
      <c r="H52" t="str">
        <f>HYPERLINK("http://dx.doi.org/10.1088/1361-6560/aad316","http://dx.doi.org/10.1088/1361-6560/aad316")</f>
        <v>http://dx.doi.org/10.1088/1361-6560/aad316</v>
      </c>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02B5-5610-43FD-91BA-5058325698B9}">
  <dimension ref="A1:H29"/>
  <sheetViews>
    <sheetView workbookViewId="0">
      <selection activeCell="A25" sqref="A25:I29"/>
    </sheetView>
  </sheetViews>
  <sheetFormatPr baseColWidth="10" defaultColWidth="8.83203125" defaultRowHeight="15" x14ac:dyDescent="0.2"/>
  <cols>
    <col min="1" max="1" width="11.1640625" customWidth="1"/>
    <col min="2" max="2" width="12.33203125" customWidth="1"/>
    <col min="3" max="3" width="9.5" customWidth="1"/>
    <col min="4" max="4" width="17.5" customWidth="1"/>
    <col min="5" max="5" width="9.83203125" customWidth="1"/>
    <col min="6" max="6" width="16.5" customWidth="1"/>
    <col min="7" max="7" width="15" customWidth="1"/>
    <col min="8" max="8" width="28" customWidth="1"/>
  </cols>
  <sheetData>
    <row r="1" spans="1:8" x14ac:dyDescent="0.2">
      <c r="A1" s="18" t="s">
        <v>15</v>
      </c>
      <c r="B1" s="19" t="s">
        <v>9</v>
      </c>
      <c r="C1" s="19" t="s">
        <v>8</v>
      </c>
      <c r="D1" s="19" t="s">
        <v>10</v>
      </c>
      <c r="E1" s="19" t="s">
        <v>12</v>
      </c>
      <c r="F1" s="20" t="s">
        <v>13</v>
      </c>
      <c r="G1" s="20" t="s">
        <v>14</v>
      </c>
      <c r="H1" s="21" t="s">
        <v>16</v>
      </c>
    </row>
    <row r="2" spans="1:8" x14ac:dyDescent="0.2">
      <c r="A2" t="s">
        <v>788</v>
      </c>
      <c r="B2" t="s">
        <v>695</v>
      </c>
      <c r="C2" t="s">
        <v>696</v>
      </c>
      <c r="D2" t="s">
        <v>11</v>
      </c>
      <c r="E2" t="s">
        <v>11</v>
      </c>
      <c r="F2">
        <v>2023</v>
      </c>
      <c r="H2" t="s">
        <v>697</v>
      </c>
    </row>
    <row r="3" spans="1:8" x14ac:dyDescent="0.2">
      <c r="A3" t="s">
        <v>789</v>
      </c>
      <c r="B3" t="s">
        <v>698</v>
      </c>
      <c r="C3" t="s">
        <v>699</v>
      </c>
      <c r="D3" t="s">
        <v>700</v>
      </c>
      <c r="E3" t="s">
        <v>701</v>
      </c>
      <c r="F3">
        <v>2018</v>
      </c>
      <c r="H3" t="s">
        <v>702</v>
      </c>
    </row>
    <row r="4" spans="1:8" x14ac:dyDescent="0.2">
      <c r="A4" t="s">
        <v>790</v>
      </c>
      <c r="B4" t="s">
        <v>703</v>
      </c>
      <c r="C4" t="s">
        <v>704</v>
      </c>
      <c r="D4" t="s">
        <v>705</v>
      </c>
      <c r="E4" t="s">
        <v>706</v>
      </c>
      <c r="F4">
        <v>2022</v>
      </c>
      <c r="H4" t="s">
        <v>707</v>
      </c>
    </row>
    <row r="5" spans="1:8" x14ac:dyDescent="0.2">
      <c r="A5" t="s">
        <v>791</v>
      </c>
      <c r="B5" t="s">
        <v>708</v>
      </c>
      <c r="C5" t="s">
        <v>709</v>
      </c>
      <c r="D5" t="s">
        <v>710</v>
      </c>
      <c r="E5" t="s">
        <v>711</v>
      </c>
      <c r="F5">
        <v>2024</v>
      </c>
      <c r="H5" t="s">
        <v>712</v>
      </c>
    </row>
    <row r="6" spans="1:8" x14ac:dyDescent="0.2">
      <c r="A6" t="s">
        <v>792</v>
      </c>
      <c r="B6" t="s">
        <v>713</v>
      </c>
      <c r="C6" t="s">
        <v>714</v>
      </c>
      <c r="D6" t="s">
        <v>11</v>
      </c>
      <c r="E6" t="s">
        <v>715</v>
      </c>
      <c r="F6">
        <v>2024</v>
      </c>
      <c r="H6" t="s">
        <v>716</v>
      </c>
    </row>
    <row r="7" spans="1:8" x14ac:dyDescent="0.2">
      <c r="A7" t="s">
        <v>793</v>
      </c>
      <c r="B7" t="s">
        <v>717</v>
      </c>
      <c r="C7" t="s">
        <v>718</v>
      </c>
      <c r="D7" t="s">
        <v>719</v>
      </c>
      <c r="E7" t="s">
        <v>720</v>
      </c>
      <c r="F7">
        <v>2024</v>
      </c>
      <c r="H7" t="s">
        <v>721</v>
      </c>
    </row>
    <row r="8" spans="1:8" x14ac:dyDescent="0.2">
      <c r="A8" t="s">
        <v>794</v>
      </c>
      <c r="B8" t="s">
        <v>722</v>
      </c>
      <c r="C8" t="s">
        <v>723</v>
      </c>
      <c r="D8" t="s">
        <v>724</v>
      </c>
      <c r="E8" t="s">
        <v>725</v>
      </c>
      <c r="F8">
        <v>2024</v>
      </c>
      <c r="H8" t="s">
        <v>726</v>
      </c>
    </row>
    <row r="9" spans="1:8" x14ac:dyDescent="0.2">
      <c r="A9" t="s">
        <v>795</v>
      </c>
      <c r="B9" t="s">
        <v>289</v>
      </c>
      <c r="C9" t="s">
        <v>727</v>
      </c>
      <c r="D9" t="s">
        <v>728</v>
      </c>
      <c r="E9" t="s">
        <v>729</v>
      </c>
      <c r="F9">
        <v>2024</v>
      </c>
      <c r="H9" t="s">
        <v>730</v>
      </c>
    </row>
    <row r="10" spans="1:8" x14ac:dyDescent="0.2">
      <c r="A10" t="s">
        <v>796</v>
      </c>
      <c r="B10" t="s">
        <v>694</v>
      </c>
      <c r="C10" t="s">
        <v>731</v>
      </c>
      <c r="D10" t="s">
        <v>732</v>
      </c>
      <c r="E10" t="s">
        <v>733</v>
      </c>
      <c r="F10">
        <v>2024</v>
      </c>
      <c r="H10" t="s">
        <v>734</v>
      </c>
    </row>
    <row r="11" spans="1:8" x14ac:dyDescent="0.2">
      <c r="A11" t="s">
        <v>797</v>
      </c>
      <c r="B11" t="s">
        <v>735</v>
      </c>
      <c r="C11" t="s">
        <v>736</v>
      </c>
      <c r="D11" t="s">
        <v>737</v>
      </c>
      <c r="E11" t="s">
        <v>738</v>
      </c>
      <c r="F11">
        <v>2024</v>
      </c>
      <c r="H11" t="s">
        <v>739</v>
      </c>
    </row>
    <row r="12" spans="1:8" x14ac:dyDescent="0.2">
      <c r="A12" t="s">
        <v>798</v>
      </c>
      <c r="B12" t="s">
        <v>340</v>
      </c>
      <c r="C12" t="s">
        <v>740</v>
      </c>
      <c r="D12" t="s">
        <v>11</v>
      </c>
      <c r="E12" t="s">
        <v>741</v>
      </c>
      <c r="F12">
        <v>2023</v>
      </c>
      <c r="H12" t="s">
        <v>742</v>
      </c>
    </row>
    <row r="13" spans="1:8" x14ac:dyDescent="0.2">
      <c r="A13" t="s">
        <v>799</v>
      </c>
      <c r="B13" t="s">
        <v>743</v>
      </c>
      <c r="C13" t="s">
        <v>744</v>
      </c>
      <c r="D13" t="s">
        <v>11</v>
      </c>
      <c r="E13" t="s">
        <v>11</v>
      </c>
      <c r="F13">
        <v>2023</v>
      </c>
      <c r="H13" t="s">
        <v>745</v>
      </c>
    </row>
    <row r="14" spans="1:8" x14ac:dyDescent="0.2">
      <c r="A14" t="s">
        <v>800</v>
      </c>
      <c r="B14" t="s">
        <v>746</v>
      </c>
      <c r="C14" t="s">
        <v>747</v>
      </c>
      <c r="D14" t="s">
        <v>748</v>
      </c>
      <c r="E14" t="s">
        <v>749</v>
      </c>
      <c r="F14">
        <v>2023</v>
      </c>
      <c r="H14" t="s">
        <v>750</v>
      </c>
    </row>
    <row r="15" spans="1:8" x14ac:dyDescent="0.2">
      <c r="A15" t="s">
        <v>801</v>
      </c>
      <c r="B15" t="s">
        <v>751</v>
      </c>
      <c r="C15" t="s">
        <v>752</v>
      </c>
      <c r="D15" t="s">
        <v>753</v>
      </c>
      <c r="E15" t="s">
        <v>754</v>
      </c>
      <c r="F15">
        <v>2022</v>
      </c>
      <c r="H15" t="s">
        <v>755</v>
      </c>
    </row>
    <row r="16" spans="1:8" x14ac:dyDescent="0.2">
      <c r="A16" t="s">
        <v>802</v>
      </c>
      <c r="B16" t="s">
        <v>756</v>
      </c>
      <c r="C16" t="s">
        <v>757</v>
      </c>
      <c r="D16" t="s">
        <v>758</v>
      </c>
      <c r="E16" t="s">
        <v>759</v>
      </c>
      <c r="F16">
        <v>2021</v>
      </c>
      <c r="H16" t="s">
        <v>11</v>
      </c>
    </row>
    <row r="17" spans="1:8" x14ac:dyDescent="0.2">
      <c r="A17" t="s">
        <v>803</v>
      </c>
      <c r="B17" t="s">
        <v>24</v>
      </c>
      <c r="C17" t="s">
        <v>760</v>
      </c>
      <c r="D17" t="s">
        <v>761</v>
      </c>
      <c r="E17" t="s">
        <v>762</v>
      </c>
      <c r="F17">
        <v>2024</v>
      </c>
      <c r="H17" t="s">
        <v>763</v>
      </c>
    </row>
    <row r="18" spans="1:8" x14ac:dyDescent="0.2">
      <c r="A18" t="s">
        <v>804</v>
      </c>
      <c r="B18" t="s">
        <v>25</v>
      </c>
      <c r="C18" t="s">
        <v>764</v>
      </c>
      <c r="D18" t="s">
        <v>765</v>
      </c>
      <c r="E18" t="s">
        <v>766</v>
      </c>
      <c r="F18">
        <v>2024</v>
      </c>
      <c r="H18" t="s">
        <v>767</v>
      </c>
    </row>
    <row r="19" spans="1:8" x14ac:dyDescent="0.2">
      <c r="A19" t="s">
        <v>805</v>
      </c>
      <c r="B19" t="s">
        <v>22</v>
      </c>
      <c r="C19" t="s">
        <v>768</v>
      </c>
      <c r="D19" t="s">
        <v>11</v>
      </c>
      <c r="E19" t="s">
        <v>23</v>
      </c>
      <c r="F19">
        <v>2021</v>
      </c>
      <c r="H19" t="s">
        <v>11</v>
      </c>
    </row>
    <row r="20" spans="1:8" x14ac:dyDescent="0.2">
      <c r="A20" t="s">
        <v>806</v>
      </c>
      <c r="B20" t="s">
        <v>264</v>
      </c>
      <c r="C20" t="s">
        <v>769</v>
      </c>
      <c r="D20" t="s">
        <v>770</v>
      </c>
      <c r="E20" t="s">
        <v>574</v>
      </c>
      <c r="F20">
        <v>2025</v>
      </c>
      <c r="H20" t="s">
        <v>771</v>
      </c>
    </row>
    <row r="21" spans="1:8" x14ac:dyDescent="0.2">
      <c r="A21" t="s">
        <v>807</v>
      </c>
      <c r="B21" t="s">
        <v>773</v>
      </c>
      <c r="C21" t="s">
        <v>774</v>
      </c>
      <c r="D21" t="s">
        <v>775</v>
      </c>
      <c r="E21" t="s">
        <v>776</v>
      </c>
      <c r="F21">
        <v>2025</v>
      </c>
      <c r="H21" t="s">
        <v>777</v>
      </c>
    </row>
    <row r="22" spans="1:8" x14ac:dyDescent="0.2">
      <c r="A22" t="s">
        <v>808</v>
      </c>
      <c r="B22" t="s">
        <v>616</v>
      </c>
      <c r="C22" t="s">
        <v>778</v>
      </c>
      <c r="D22" t="s">
        <v>779</v>
      </c>
      <c r="E22" t="s">
        <v>780</v>
      </c>
      <c r="F22">
        <v>2024</v>
      </c>
      <c r="H22" t="s">
        <v>11</v>
      </c>
    </row>
    <row r="23" spans="1:8" x14ac:dyDescent="0.2">
      <c r="A23" t="s">
        <v>809</v>
      </c>
      <c r="B23" t="s">
        <v>119</v>
      </c>
      <c r="C23" t="s">
        <v>781</v>
      </c>
      <c r="D23" t="s">
        <v>782</v>
      </c>
      <c r="E23" t="s">
        <v>570</v>
      </c>
      <c r="F23">
        <v>2025</v>
      </c>
      <c r="H23" t="s">
        <v>783</v>
      </c>
    </row>
    <row r="24" spans="1:8" x14ac:dyDescent="0.2">
      <c r="A24" t="s">
        <v>810</v>
      </c>
      <c r="B24" t="s">
        <v>772</v>
      </c>
      <c r="C24" t="s">
        <v>784</v>
      </c>
      <c r="D24" t="s">
        <v>785</v>
      </c>
      <c r="E24" t="s">
        <v>786</v>
      </c>
      <c r="F24">
        <v>2024</v>
      </c>
      <c r="H24" t="s">
        <v>787</v>
      </c>
    </row>
    <row r="25" spans="1:8" x14ac:dyDescent="0.2">
      <c r="A25" t="s">
        <v>814</v>
      </c>
      <c r="B25" t="s">
        <v>811</v>
      </c>
      <c r="C25" t="s">
        <v>812</v>
      </c>
      <c r="E25" t="s">
        <v>36</v>
      </c>
      <c r="F25">
        <v>2018</v>
      </c>
      <c r="H25" s="31" t="s">
        <v>813</v>
      </c>
    </row>
    <row r="26" spans="1:8" x14ac:dyDescent="0.2">
      <c r="A26" t="s">
        <v>815</v>
      </c>
      <c r="B26" t="s">
        <v>818</v>
      </c>
      <c r="C26" t="s">
        <v>819</v>
      </c>
      <c r="E26" t="s">
        <v>820</v>
      </c>
      <c r="F26">
        <v>2024</v>
      </c>
      <c r="H26" s="31" t="s">
        <v>821</v>
      </c>
    </row>
    <row r="27" spans="1:8" x14ac:dyDescent="0.2">
      <c r="A27" t="s">
        <v>816</v>
      </c>
      <c r="B27" t="s">
        <v>823</v>
      </c>
      <c r="C27" t="s">
        <v>822</v>
      </c>
      <c r="E27" t="s">
        <v>824</v>
      </c>
      <c r="F27">
        <v>2023</v>
      </c>
      <c r="H27" s="31" t="s">
        <v>825</v>
      </c>
    </row>
    <row r="28" spans="1:8" x14ac:dyDescent="0.2">
      <c r="A28" t="s">
        <v>817</v>
      </c>
      <c r="B28" t="s">
        <v>826</v>
      </c>
      <c r="C28" t="s">
        <v>827</v>
      </c>
      <c r="F28">
        <v>2023</v>
      </c>
      <c r="H28" s="31" t="s">
        <v>828</v>
      </c>
    </row>
    <row r="29" spans="1:8" x14ac:dyDescent="0.2">
      <c r="A29" t="s">
        <v>829</v>
      </c>
      <c r="B29" t="s">
        <v>830</v>
      </c>
      <c r="C29" t="s">
        <v>831</v>
      </c>
      <c r="E29" t="s">
        <v>832</v>
      </c>
      <c r="F29">
        <v>2022</v>
      </c>
      <c r="H29" s="31" t="s">
        <v>833</v>
      </c>
    </row>
  </sheetData>
  <phoneticPr fontId="7" type="noConversion"/>
  <hyperlinks>
    <hyperlink ref="H25" r:id="rId1" xr:uid="{D365870D-FD2A-9347-A274-B0E2AD7C52B6}"/>
    <hyperlink ref="H26" r:id="rId2" xr:uid="{C1B52FA2-DAD9-1643-9F72-7EDF40F6DA64}"/>
    <hyperlink ref="H27" r:id="rId3" xr:uid="{14F6EE2B-BFCE-7A4C-8DA9-A45429D475BB}"/>
    <hyperlink ref="H29" r:id="rId4" xr:uid="{1AF3FCE7-C8E3-5849-8196-844C47319E8D}"/>
  </hyperlinks>
  <pageMargins left="0.7" right="0.7" top="0.75" bottom="0.75" header="0.3" footer="0.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C2A8D3-65FB-42C0-8BD5-E60A37318B21}">
  <ds:schemaRefs>
    <ds:schemaRef ds:uri="http://schemas.microsoft.com/DataMashup"/>
  </ds:schemaRefs>
</ds:datastoreItem>
</file>

<file path=docMetadata/LabelInfo.xml><?xml version="1.0" encoding="utf-8"?>
<clbl:labelList xmlns:clbl="http://schemas.microsoft.com/office/2020/mipLabelMetadata">
  <clbl:label id="{a7262e59-1b56-4f5a-a412-6f07181f48ee}" enabled="0" method="" siteId="{a7262e59-1b56-4f5a-a412-6f07181f48ee}"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Framework (simplified)</vt:lpstr>
      <vt:lpstr>Framework</vt:lpstr>
      <vt:lpstr>Overview</vt:lpstr>
      <vt:lpstr>Total</vt:lpstr>
      <vt:lpstr>ACM</vt:lpstr>
      <vt:lpstr>IEEE</vt:lpstr>
      <vt:lpstr>Scopus</vt:lpstr>
      <vt:lpstr>WoS</vt:lpstr>
      <vt:lpstr>Forward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dc:creator>
  <cp:lastModifiedBy>Karst, Fabian</cp:lastModifiedBy>
  <dcterms:created xsi:type="dcterms:W3CDTF">2015-06-05T18:19:34Z</dcterms:created>
  <dcterms:modified xsi:type="dcterms:W3CDTF">2026-01-13T07:48:17Z</dcterms:modified>
</cp:coreProperties>
</file>